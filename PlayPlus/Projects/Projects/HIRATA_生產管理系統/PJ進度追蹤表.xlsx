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新規案件追踪" sheetId="1" r:id="rId4"/>
    <sheet state="visible" name="派車單--資料寫入" sheetId="2" r:id="rId5"/>
    <sheet state="visible" name=" 出貨派車單" sheetId="3" r:id="rId6"/>
    <sheet state="visible" name="機台上外面要的出貨標示" sheetId="4" r:id="rId7"/>
    <sheet state="visible" name="Packing List" sheetId="5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Key1">[2]ALL!#REF!</definedName>
    <definedName name="_Order1">255</definedName>
    <definedName name="_Order2">1</definedName>
    <definedName name="A_1">[1]ALL!#REF!</definedName>
    <definedName name="A_2">[1]ALL!#REF!</definedName>
    <definedName name="A_3">[1]ALL!#REF!</definedName>
    <definedName name="AM">#REF!,#REF!,#REF!,#REF!,#REF!,#REF!,#REF!,#REF!,#REF!,#REF!,#REF!,#REF!,#REF!,#REF!,#REF!,#REF!,#REF!,#REF!,#REF!,#REF!,#REF!,#REF!,#REF!,#REF!,#REF!,#REF!,#REF!,#REF!,#REF!,#REF!,#REF!,#REF!,#REF!,#REF!,#REF!</definedName>
    <definedName name="AR">[1]ALL!#REF!</definedName>
    <definedName name="B_1">[1]ALL!#REF!</definedName>
    <definedName name="B_2">[1]ALL!#REF!</definedName>
    <definedName name="B_3">[1]ALL!#REF!</definedName>
    <definedName name="CNT">[1]ALL!#REF!</definedName>
    <definedName name="Convert">'[3]（入力シート）A-2-①'!$AH$4</definedName>
    <definedName name="END_M">[1]ALL!#REF!</definedName>
    <definedName name="FLAG">[1]ALL!#REF!</definedName>
    <definedName name="INSERT_1">[1]ALL!#REF!</definedName>
    <definedName name="INSERT_2">[1]ALL!#REF!</definedName>
    <definedName name="LX">[1]ALL!#REF!</definedName>
    <definedName name="MACRO">[1]ALL!#REF!</definedName>
    <definedName name="MEM_WID">[1]ALL!#REF!</definedName>
    <definedName name="MENU_R_D">[1]ALL!#REF!</definedName>
    <definedName name="MENU_R_E">[1]ALL!#REF!</definedName>
    <definedName name="MENU_R_I">[1]ALL!#REF!</definedName>
    <definedName name="MENU_R_P">[1]ALL!#REF!</definedName>
    <definedName name="MENU_R_PP">[1]ALL!#REF!</definedName>
    <definedName name="MENU_R_S">[1]ALL!#REF!</definedName>
    <definedName name="MENU_S">[1]ALL!#REF!</definedName>
    <definedName name="MENU_S_M">[1]ALL!#REF!</definedName>
    <definedName name="monthName">[4]Settings!$G$12</definedName>
    <definedName localSheetId="2" name="OLE_LINK1">' 出貨派車單'!#REF!</definedName>
    <definedName name="OPLINE_2">[5]UK!#REF!</definedName>
    <definedName name="RCW_1">[1]ALL!#REF!</definedName>
    <definedName name="REC_WID">[1]ALL!#REF!</definedName>
    <definedName name="START_M">[1]ALL!#REF!</definedName>
    <definedName name="SX">[1]ALL!#REF!</definedName>
    <definedName name="SY">[1]ALL!#REF!</definedName>
    <definedName name="WID_0">[1]ALL!#REF!</definedName>
    <definedName name="WID_1">[1]ALL!#REF!</definedName>
    <definedName name="WID_2">[1]ALL!#REF!</definedName>
    <definedName name="WID_LINE">[1]ALL!#REF!</definedName>
    <definedName name="WIDE_P">[2]ALL!#REF!</definedName>
    <definedName name="year">[6]工作表1!#REF!</definedName>
    <definedName name="工程">[7]工程!$C$3:$C$33</definedName>
    <definedName name="区分">[7]区分!$C$3:$C$32</definedName>
    <definedName name="受注推移2014">[1]ALL!#REF!</definedName>
    <definedName name="設備">[7]設備!$C$3:$D$53</definedName>
    <definedName name="設備番号">[7]設備!$C$3:$C$53</definedName>
    <definedName name="類別">'[8]2022.1~2023.8月'!$A$2:$A$10</definedName>
    <definedName name="PRINT_AREA_MI1">#REF!</definedName>
    <definedName name="東京出荷">#REF!</definedName>
    <definedName name="_Z2">#REF!</definedName>
    <definedName name="___KU9">#REF!</definedName>
    <definedName name="_______KU2">#REF!</definedName>
    <definedName name="aaa">#REF!</definedName>
    <definedName name="GBP">#REF!</definedName>
    <definedName name="_KU2">#REF!</definedName>
    <definedName name="____KU1">#REF!</definedName>
    <definedName name="_______KU8">#REF!</definedName>
    <definedName name="________KU1">#REF!</definedName>
    <definedName name="GGG">#REF!</definedName>
    <definedName name="重機ﾚﾝﾀﾙ">#REF!</definedName>
    <definedName name="様式1">#REF!</definedName>
    <definedName name="_____KU4">#REF!</definedName>
    <definedName name="____KYU9">#REF!</definedName>
    <definedName name="____Z3">#REF!</definedName>
    <definedName name="_______KYU7">#REF!</definedName>
    <definedName name="Dataform">#REF!</definedName>
    <definedName name="_______KYU10">#REF!</definedName>
    <definedName name="_KYU10">#REF!</definedName>
    <definedName name="稼働">#REF!</definedName>
    <definedName name="n">#REF!</definedName>
    <definedName name="_____KYU4">#REF!</definedName>
    <definedName name="____KU10">#REF!</definedName>
    <definedName name="製作">#REF!</definedName>
    <definedName name="_______KYU4">#REF!</definedName>
    <definedName name="ロードポートtuiki">#REF!</definedName>
    <definedName name="_______KYU5">#REF!</definedName>
    <definedName name="__dat9">#REF!</definedName>
    <definedName name="________KU9">#REF!</definedName>
    <definedName name="______KYU6">#REF!</definedName>
    <definedName name="ooo">#REF!</definedName>
    <definedName name="____KU6">#REF!</definedName>
    <definedName name="_2Z2_">#REF!</definedName>
    <definedName name="本体製作">#REF!</definedName>
    <definedName name="________KU4">#REF!</definedName>
    <definedName name="_KU9">#REF!</definedName>
    <definedName name="_____KU6">#REF!</definedName>
    <definedName name="___KU6">#REF!</definedName>
    <definedName name="___KU2">#REF!</definedName>
    <definedName name="____KYU1">#REF!</definedName>
    <definedName name="Q10_マスタ_その他">#REF!</definedName>
    <definedName name="_____KYU9">#REF!</definedName>
    <definedName name="______KU8">#REF!</definedName>
    <definedName name="Q10_EXCEL_PT_LIST_2">#REF!</definedName>
    <definedName name="______KU10">#REF!</definedName>
    <definedName name="______KYU4">#REF!</definedName>
    <definedName name="_____Z3">#REF!</definedName>
    <definedName name="__dat2">#REF!</definedName>
    <definedName name="jn">#REF!</definedName>
    <definedName name="レイアウト">#REF!</definedName>
    <definedName name="電気工事">#REF!</definedName>
    <definedName name="搬入">#REF!</definedName>
    <definedName name="______KU7">#REF!</definedName>
    <definedName name="_______KU6">#REF!</definedName>
    <definedName name="ｵｰﾀﾞｰ決定">#REF!</definedName>
    <definedName name="_KYU3">#REF!</definedName>
    <definedName name="______KU1">#REF!</definedName>
    <definedName name="jz">#REF!</definedName>
    <definedName name="____KU5">#REF!</definedName>
    <definedName name="m">#REF!</definedName>
    <definedName name="r.1">#REF!</definedName>
    <definedName name="______KYU9">#REF!</definedName>
    <definedName name="__dat1">#REF!</definedName>
    <definedName name="______KYU1">#REF!</definedName>
    <definedName name="__dat12">#REF!</definedName>
    <definedName name="現場調整">#REF!</definedName>
    <definedName name="___KU10">#REF!</definedName>
    <definedName name="_____KYU10">#REF!</definedName>
    <definedName name="出荷">#REF!</definedName>
    <definedName name="_KU4">#REF!</definedName>
    <definedName name="________KU10">#REF!</definedName>
    <definedName name="__Z3">#REF!</definedName>
    <definedName name="_______KU1">#REF!</definedName>
    <definedName name="油圧配管">#REF!</definedName>
    <definedName name="_dat3">#REF!</definedName>
    <definedName name="_____KYU3">#REF!</definedName>
    <definedName name="Check">#REF!</definedName>
    <definedName name="設計">#REF!</definedName>
    <definedName name="_KU6">#REF!</definedName>
    <definedName name="_KYU100">#REF!</definedName>
    <definedName name="Lot">#REF!</definedName>
    <definedName name="_______KYU1">#REF!</definedName>
    <definedName name="_1Z1_">#REF!</definedName>
    <definedName name="_______Z3">#REF!</definedName>
    <definedName name="あああ">#REF!</definedName>
    <definedName name="_KYU8">#REF!</definedName>
    <definedName name="______KU2">#REF!</definedName>
    <definedName name="制御盤製作">#REF!</definedName>
    <definedName name="_______KU9">#REF!</definedName>
    <definedName name="_dat1">#REF!</definedName>
    <definedName name="bb">#REF!</definedName>
    <definedName name="___KU8">#REF!</definedName>
    <definedName name="____KYU4">#REF!</definedName>
    <definedName name="__Z1">#REF!</definedName>
    <definedName name="a">#REF!</definedName>
    <definedName name="____KU2">#REF!</definedName>
    <definedName name="_KU8">#REF!</definedName>
    <definedName name="___KU7">#REF!</definedName>
    <definedName name="_dat12">#REF!</definedName>
    <definedName name="________KYU4">#REF!</definedName>
    <definedName name="_____KYU8">#REF!</definedName>
    <definedName name="様式2">#REF!</definedName>
    <definedName name="______KYU7">#REF!</definedName>
    <definedName name="Print_Area_MI">#REF!</definedName>
    <definedName name="_KYU4">#REF!</definedName>
    <definedName name="売上">#REF!</definedName>
    <definedName name="_KU7">#REF!</definedName>
    <definedName name="_dat11">#REF!</definedName>
    <definedName name="ddat1">#REF!</definedName>
    <definedName name="kkk">#REF!</definedName>
    <definedName name="___KYU2">#REF!</definedName>
    <definedName name="見積り">#REF!</definedName>
    <definedName name="T">#REF!</definedName>
    <definedName name="______Z1">#REF!</definedName>
    <definedName name="_______KYU2">#REF!</definedName>
    <definedName name="_KYU9">#REF!</definedName>
    <definedName name="____KYU6">#REF!</definedName>
    <definedName name="________KYU9">#REF!</definedName>
    <definedName name="_KYU2">#REF!</definedName>
    <definedName name="jm">#REF!</definedName>
    <definedName name="______KYU10">#REF!</definedName>
    <definedName name="checkok">#REF!</definedName>
    <definedName name="_______Z2">#REF!</definedName>
    <definedName name="USD">#REF!</definedName>
    <definedName name="______KU5">#REF!</definedName>
    <definedName name="_______KU5">#REF!</definedName>
    <definedName name="______KYU8">#REF!</definedName>
    <definedName name="オンライン">#REF!</definedName>
    <definedName name="________KU6">#REF!</definedName>
    <definedName name="______Z2">#REF!</definedName>
    <definedName name="RHHH">#REF!</definedName>
    <definedName name="_Z1">#REF!</definedName>
    <definedName name="あ">#REF!</definedName>
    <definedName name="墨打ち">#REF!</definedName>
    <definedName name="______KU4">#REF!</definedName>
    <definedName name="_____Z2">#REF!</definedName>
    <definedName name="____KU7">#REF!</definedName>
    <definedName name="_______KYU8">#REF!</definedName>
    <definedName name="_______KYU6">#REF!</definedName>
    <definedName name="資材購入品">#REF!</definedName>
    <definedName name="Q10_EXCEL_PT_LIST_1">#REF!</definedName>
    <definedName name="_____Z1">#REF!</definedName>
    <definedName name="_______KU7">#REF!</definedName>
    <definedName name="亜太実績">#REF!</definedName>
    <definedName name="_____KYU5">#REF!</definedName>
    <definedName name="____KYU5">#REF!</definedName>
    <definedName name="____KYU7">#REF!</definedName>
    <definedName name="リターン値">#REF!</definedName>
    <definedName name="ロードポート">#REF!</definedName>
    <definedName name="____KU4">#REF!</definedName>
    <definedName name="_dat9">#REF!</definedName>
    <definedName name="___KYU6">#REF!</definedName>
    <definedName name="_____KYU2">#REF!</definedName>
    <definedName name="l">#REF!</definedName>
    <definedName name="先行手配">#REF!</definedName>
    <definedName name="_KYU7">#REF!</definedName>
    <definedName name="RZ">#REF!</definedName>
    <definedName name="________KU8">#REF!</definedName>
    <definedName name="組立">#REF!</definedName>
    <definedName name="___KYU5">#REF!</definedName>
    <definedName name="r.2">#REF!</definedName>
    <definedName name="ああああああ">#REF!</definedName>
    <definedName name="海上運送">#REF!</definedName>
    <definedName name="______KYU5">#REF!</definedName>
    <definedName name="_KYU6">#REF!</definedName>
    <definedName name="_____KYU7">#REF!</definedName>
    <definedName name="_KYU5">#REF!</definedName>
    <definedName name="Data">#REF!</definedName>
    <definedName name="_3Z3_">#REF!</definedName>
    <definedName name="_123">#REF!</definedName>
    <definedName name="_KU3">#REF!</definedName>
    <definedName name="_____KU8">#REF!</definedName>
    <definedName name="_____KU2">#REF!</definedName>
    <definedName name="立合い">#REF!</definedName>
    <definedName name="___KU4">#REF!</definedName>
    <definedName name="________KYU1">#REF!</definedName>
    <definedName name="ソフト設計">#REF!</definedName>
    <definedName name="_______KYU3">#REF!</definedName>
    <definedName name="JJJJ">#REF!</definedName>
    <definedName name="____KU3">#REF!</definedName>
    <definedName name="T_M_Name">#REF!</definedName>
    <definedName name="TTT">#REF!</definedName>
    <definedName name="____Z1">#REF!</definedName>
    <definedName name="___KU5">#REF!</definedName>
    <definedName name="______KU3">#REF!</definedName>
    <definedName name="仕様決定">#REF!</definedName>
    <definedName name="_____KU5">#REF!</definedName>
    <definedName name="k">#REF!</definedName>
    <definedName name="__Z2">#REF!</definedName>
    <definedName name="___KYU8">#REF!</definedName>
    <definedName name="________KYU3">#REF!</definedName>
    <definedName name="_____KU9">#REF!</definedName>
    <definedName name="調整手直し">#REF!</definedName>
    <definedName name="___KU1">#REF!</definedName>
    <definedName name="ロードポート追記">#REF!</definedName>
    <definedName name="稼働立合い">#REF!</definedName>
    <definedName name="_KU10">#REF!</definedName>
    <definedName name="RK">#REF!</definedName>
    <definedName name="ダクト">#REF!</definedName>
    <definedName name="___KYU9">#REF!</definedName>
    <definedName name="_Z3">#REF!</definedName>
    <definedName name="クエリー1">#REF!</definedName>
    <definedName name="________KU3">#REF!</definedName>
    <definedName name="________KYU8">#REF!</definedName>
    <definedName name="_______Z1">#REF!</definedName>
    <definedName name="________KYU7">#REF!</definedName>
    <definedName name="_______KU10">#REF!</definedName>
    <definedName name="_dat13">#REF!</definedName>
    <definedName name="様式3">#REF!</definedName>
    <definedName name="試運転">#REF!</definedName>
    <definedName name="走行軸">#REF!</definedName>
    <definedName name="____KYU10">#REF!</definedName>
    <definedName name="AA">#REF!</definedName>
    <definedName name="運送">#REF!</definedName>
    <definedName name="____KYU8">#REF!</definedName>
    <definedName name="ハード設計">#REF!</definedName>
    <definedName name="塗装">#REF!</definedName>
    <definedName name="解梱">#REF!</definedName>
    <definedName name="機械加工">#REF!</definedName>
    <definedName name="T_OptionData">#REF!</definedName>
    <definedName name="一月">#REF!</definedName>
    <definedName name="Q10_マスタ_主要メーカー">#REF!</definedName>
    <definedName name="構想図">#REF!</definedName>
    <definedName name="___Z1">#REF!</definedName>
    <definedName name="________KYU6">#REF!</definedName>
    <definedName name="_dat10">#REF!</definedName>
    <definedName name="___KU3">#REF!</definedName>
    <definedName name="______Z3">#REF!</definedName>
    <definedName name="___KYU1">#REF!</definedName>
    <definedName name="_____KU10">#REF!</definedName>
    <definedName name="東京出港">#REF!</definedName>
    <definedName name="____KU9">#REF!</definedName>
    <definedName name="_____KU1">#REF!</definedName>
    <definedName name="________KYU2">#REF!</definedName>
    <definedName name="全体">#REF!</definedName>
    <definedName name="________KYU10">#REF!</definedName>
    <definedName name="____Z2">#REF!</definedName>
    <definedName name="___KYU4">#REF!</definedName>
    <definedName name="______KYU2">#REF!</definedName>
    <definedName name="________KU7">#REF!</definedName>
    <definedName name="_______KYU9">#REF!</definedName>
    <definedName name="b">#REF!</definedName>
    <definedName name="_____KU3">#REF!</definedName>
    <definedName name="損益3">#REF!</definedName>
    <definedName name="________KU2">#REF!</definedName>
    <definedName name="______KU6">#REF!</definedName>
    <definedName name="_____KU7">#REF!</definedName>
    <definedName name="損益1">#REF!</definedName>
    <definedName name="____KU8">#REF!</definedName>
    <definedName name="損益2">#REF!</definedName>
    <definedName name="エアー配管">#REF!</definedName>
    <definedName name="_KYU1">#REF!</definedName>
    <definedName name="据付">#REF!</definedName>
    <definedName name="________KYU5">#REF!</definedName>
    <definedName name="門司出港">#REF!</definedName>
    <definedName name="_35">#REF!</definedName>
    <definedName name="_dat2">#REF!</definedName>
    <definedName name="____KYU2">#REF!</definedName>
    <definedName name="______KYU3">#REF!</definedName>
    <definedName name="____KYU3">#REF!</definedName>
    <definedName name="___KYU10">#REF!</definedName>
    <definedName name="_____KYU6">#REF!</definedName>
    <definedName name="jg">#REF!</definedName>
    <definedName name="解体梱包">#REF!</definedName>
    <definedName name="Rg">#REF!</definedName>
    <definedName name="UU">#REF!</definedName>
    <definedName name="bbb">#REF!</definedName>
    <definedName name="________KU5">#REF!</definedName>
    <definedName name="_____KYU1">#REF!</definedName>
    <definedName name="ddat2">#REF!</definedName>
    <definedName name="___KYU3">#REF!</definedName>
    <definedName name="Q10_マスタ_シーケンサー">#REF!</definedName>
    <definedName name="______KU9">#REF!</definedName>
    <definedName name="T_M_Selection">#REF!</definedName>
    <definedName name="___Z3">#REF!</definedName>
    <definedName name="_______KU3">#REF!</definedName>
    <definedName name="___Z2">#REF!</definedName>
    <definedName name="移設">#REF!</definedName>
    <definedName name="_______KU4">#REF!</definedName>
    <definedName name="ヒラタ支払予定_選択クエリー">#REF!</definedName>
    <definedName name="Q10_マスタ_盤部品">#REF!</definedName>
    <definedName name="_KU5">#REF!</definedName>
    <definedName name="神戸出港">#REF!</definedName>
    <definedName name="_KU1">#REF!</definedName>
    <definedName name="___KYU7">#REF!</definedName>
  </definedNames>
  <calcPr/>
  <extLst>
    <ext uri="GoogleSheetsCustomDataVersion2">
      <go:sheetsCustomData xmlns:go="http://customooxmlschemas.google.com/" r:id="rId17" roundtripDataChecksum="bCUpcQ3kmLNOoAG4gnUMSnD+cpjX6gs3To2JjHdYIv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======
ID#AAAB_ZyYLt8
Neil    (2026-07-08 07:51:46)
S1客戶需要選取</t>
      </text>
    </comment>
  </commentList>
  <extLst>
    <ext uri="GoogleSheetsCustomDataVersion2">
      <go:sheetsCustomData xmlns:go="http://customooxmlschemas.google.com/" r:id="rId1" roundtripDataSignature="AMtx7mhEXLaDCfwEBIgz5TTHVWENqHr8eA=="/>
    </ext>
  </extLst>
</comments>
</file>

<file path=xl/sharedStrings.xml><?xml version="1.0" encoding="utf-8"?>
<sst xmlns="http://schemas.openxmlformats.org/spreadsheetml/2006/main" count="396" uniqueCount="295">
  <si>
    <t>報表製作日:</t>
  </si>
  <si>
    <t>機械</t>
  </si>
  <si>
    <t>制御</t>
  </si>
  <si>
    <t>生產</t>
  </si>
  <si>
    <t>製造</t>
  </si>
  <si>
    <t>制御或製造</t>
  </si>
  <si>
    <t>生產倉庫</t>
  </si>
  <si>
    <t>營業</t>
  </si>
  <si>
    <t>?代表尚未建立出貨通知</t>
  </si>
  <si>
    <t>PJ號碼</t>
  </si>
  <si>
    <t>客戶</t>
  </si>
  <si>
    <t>工事名稱/EFEM TYPE</t>
  </si>
  <si>
    <t>業種</t>
  </si>
  <si>
    <t>組立地點</t>
  </si>
  <si>
    <t>機械出圖日</t>
  </si>
  <si>
    <t>制御出圖日</t>
  </si>
  <si>
    <t>機械集合日</t>
  </si>
  <si>
    <t>Harness、制御盤
集合日</t>
  </si>
  <si>
    <t>Robot
X番號</t>
  </si>
  <si>
    <t>Robot
予入日</t>
  </si>
  <si>
    <t>Load port
仕樣</t>
  </si>
  <si>
    <t>Load port
予入日</t>
  </si>
  <si>
    <t>Alinger
仕樣</t>
  </si>
  <si>
    <t>Alinger
予入日</t>
  </si>
  <si>
    <t>製造
組立完成日</t>
  </si>
  <si>
    <t>制御測試完成日</t>
  </si>
  <si>
    <t>梱包日</t>
  </si>
  <si>
    <t>Customer
Target(M/I Date)</t>
  </si>
  <si>
    <t>M/I Time</t>
  </si>
  <si>
    <t>設計擔當</t>
  </si>
  <si>
    <t>制御擔當</t>
  </si>
  <si>
    <t>營業擔當</t>
  </si>
  <si>
    <t>M/I
完成</t>
  </si>
  <si>
    <t>55-02157</t>
  </si>
  <si>
    <t>晶彩</t>
  </si>
  <si>
    <t>KWE300-2P-FO-AL for FAVITE</t>
  </si>
  <si>
    <t>新規</t>
  </si>
  <si>
    <t>平田</t>
  </si>
  <si>
    <t>X413</t>
  </si>
  <si>
    <t>L325</t>
  </si>
  <si>
    <t>A003</t>
  </si>
  <si>
    <t>?</t>
  </si>
  <si>
    <t>Amos</t>
  </si>
  <si>
    <t>Hardy</t>
  </si>
  <si>
    <t>Joyce</t>
  </si>
  <si>
    <t>55-02300</t>
  </si>
  <si>
    <t>PTI</t>
  </si>
  <si>
    <t>510*515 2P Panel EFEM for 佳宸</t>
  </si>
  <si>
    <t>SP006</t>
  </si>
  <si>
    <t>FL002</t>
  </si>
  <si>
    <t>N/A</t>
  </si>
  <si>
    <t>Roy</t>
  </si>
  <si>
    <t>Dar</t>
  </si>
  <si>
    <t>Eason</t>
  </si>
  <si>
    <t>55-01867</t>
  </si>
  <si>
    <t>S1</t>
  </si>
  <si>
    <t>KWS300-TS003, 4LP Sorter</t>
  </si>
  <si>
    <t>群瑞</t>
  </si>
  <si>
    <t>H01523-ST-W-01A</t>
  </si>
  <si>
    <t>X564</t>
  </si>
  <si>
    <t>L723</t>
  </si>
  <si>
    <t>A099</t>
  </si>
  <si>
    <t>David</t>
  </si>
  <si>
    <t>Jeffrey</t>
  </si>
  <si>
    <t>55-01803</t>
  </si>
  <si>
    <t>CMIT 政美</t>
  </si>
  <si>
    <t>Load Port KWF-12F3-8M-RFID-QUARTZ1-INFO1_10sets</t>
  </si>
  <si>
    <t>Componets</t>
  </si>
  <si>
    <t>L705</t>
  </si>
  <si>
    <t>55-02467</t>
  </si>
  <si>
    <t>GPM</t>
  </si>
  <si>
    <t>台中GPM KWE300-2P-FO-AL for AOI 檢查機</t>
  </si>
  <si>
    <t>55-02308-01</t>
  </si>
  <si>
    <t>HCJ</t>
  </si>
  <si>
    <t>300X EFEM LOT 54</t>
  </si>
  <si>
    <t>55-02406</t>
  </si>
  <si>
    <t>TKK</t>
  </si>
  <si>
    <t>ASECL  KWE300-2P-FO-AL for Asmytek 1對4</t>
  </si>
  <si>
    <t>L614</t>
  </si>
  <si>
    <t>A036</t>
  </si>
  <si>
    <t>longer</t>
  </si>
  <si>
    <t>表頭皆是可在引繼會議上產出。</t>
  </si>
  <si>
    <t>1.裝置組立地點,在引繼會議時,即可得知
2.要可修改功能</t>
  </si>
  <si>
    <t>1.機械人員,BOM表出圖日,也是作業完成日
規則1引繼會議上的日期是白底黑字
規則2.機械人員搜尋專案工事,作業完成KEY上去日期按上確認。呈現灰底黑字(在引繼日期內)
規則3.超出規則1的日期時,有更新日期會呈現白底紅字的新日期
規則4.超出規則1的日期時,無更新日期會呈現規則1的紛底紅字日期
規則5.依次類推,有可能已更新的日期,還無法達成,繼續走規則3~4。</t>
  </si>
  <si>
    <t>1.制御人員,BOM表出圖日,也是作業完成日
規則1引繼會議上的日期是白底黑字
規則2.制御人員搜尋專案工事,作業完成KEY上去日期按上確認。呈現灰底黑字(在引繼日期內)
規則3.超出規則1的日期時,有更新日期會呈現白底紅字的新日期
規則4.超出規則1的日期時,無更新日期會呈現規則1的紛底紅字日期
規則5.依次類推,有可能已更新的日期,還無法達成,繼續走規則3~4。</t>
  </si>
  <si>
    <t>1.生產買料的物料到料時間。一段式作業
2.物料的內容主要是供應商作好,即送到平田/群瑞
規則1.引繼會議上的日期是白底黑字
規則2.料管人員搜尋專案工事,作業完成KEY上去日期按上確認。呈現灰底黑字(在引繼日期內)
規則3.超出規則1的日期時,有更新日期會呈現白底紅字的新日期
規則4.超出規則1的日期時,無更新日期會呈現規則1的紛底紅字日期
規則5.依次類推,有可能已更新的日期,還無法達成,繼續走規則3~4。</t>
  </si>
  <si>
    <t>1.生產買料的物料到料時間。二段式
2.物料的內容主要是供應商作好,還要送到加工商,
加工商作好再送到平田/群瑞
規則1.引繼會議上的日期是白底黑字
規則2.料管人員搜尋專案工事,作業完成KEY上去日期按上確認。呈現灰底黑字(在引繼日期內)
規則3.超出規則1的日期時,有更新日期會呈現白底紅字的新日期
規則4.超出規則1的日期時,無更新日期會呈現規則1的紛底紅字日期
規則5.依次類推,有可能已更新的日期,還無法達成,繼續走規則3~4。</t>
  </si>
  <si>
    <t>ROBOT 仕樣</t>
  </si>
  <si>
    <r>
      <rPr>
        <rFont val="PMingLiu"/>
        <color theme="1"/>
        <sz val="12.0"/>
      </rPr>
      <t>ROBOT預進貨日期在引繼會議上放入的日期
規則1引繼會議上的日期是白底</t>
    </r>
    <r>
      <rPr>
        <rFont val="新細明體"/>
        <color rgb="FFBFBFBF"/>
        <sz val="12.0"/>
      </rPr>
      <t>灰</t>
    </r>
    <r>
      <rPr>
        <rFont val="新細明體"/>
        <color rgb="FFD8D8D8"/>
        <sz val="12.0"/>
      </rPr>
      <t>字</t>
    </r>
    <r>
      <rPr>
        <rFont val="新細明體"/>
        <color theme="1"/>
        <sz val="12.0"/>
      </rPr>
      <t xml:space="preserve">
規則2.採購有明細的日期時會呈現白底黑字
規則3.倉庫發料後,登錄作業時間.按確認,呈現灰底黑字
規則4.超出日期規則2時,有更新日期會呈現白底紅字的日期
規則5.超出日期規則2時,無更新日期會呈現規則2的紛底紅字日期</t>
    </r>
  </si>
  <si>
    <t>Load port 仕樣
前面日期作業完成後,連同一起呈現灰底黑字</t>
  </si>
  <si>
    <r>
      <rPr>
        <rFont val="PMingLiu"/>
        <color theme="1"/>
        <sz val="12.0"/>
      </rPr>
      <t>Load port預進貨日期在引繼會議上放入的日期
規則1引繼會議上的日期是白底</t>
    </r>
    <r>
      <rPr>
        <rFont val="新細明體"/>
        <color rgb="FFBFBFBF"/>
        <sz val="12.0"/>
      </rPr>
      <t>灰</t>
    </r>
    <r>
      <rPr>
        <rFont val="新細明體"/>
        <color rgb="FFD8D8D8"/>
        <sz val="12.0"/>
      </rPr>
      <t>字</t>
    </r>
    <r>
      <rPr>
        <rFont val="新細明體"/>
        <color theme="1"/>
        <sz val="12.0"/>
      </rPr>
      <t xml:space="preserve">
規則2.採購有明細的日期時會呈現白底黑字
規則3.倉庫發料後,登錄作業時間.按確認,呈現灰底黑字
規則4.超出日期規則2時,有更新日期會呈現白底紅字的日期
規則5.超出日期規則2時,無更新日期會呈現規則2的紛底紅字日期</t>
    </r>
  </si>
  <si>
    <t>Alinger 仕樣
前面日期作業完成後,連同一起呈現灰底黑字</t>
  </si>
  <si>
    <r>
      <rPr>
        <rFont val="PMingLiu"/>
        <color theme="1"/>
        <sz val="12.0"/>
      </rPr>
      <t>Alinger預進貨日期在引繼會議上放入的日期
規則1引繼會議上的日期是白底</t>
    </r>
    <r>
      <rPr>
        <rFont val="新細明體"/>
        <color rgb="FFBFBFBF"/>
        <sz val="12.0"/>
      </rPr>
      <t>灰</t>
    </r>
    <r>
      <rPr>
        <rFont val="新細明體"/>
        <color rgb="FFD8D8D8"/>
        <sz val="12.0"/>
      </rPr>
      <t>字</t>
    </r>
    <r>
      <rPr>
        <rFont val="新細明體"/>
        <color theme="1"/>
        <sz val="12.0"/>
      </rPr>
      <t xml:space="preserve">
規則2.採購有明細的日期時會呈現白底黑字
規則3.倉庫發料後,登錄作業時間.按確認,呈現灰底黑字
規則4.超出日期規則2時,有更新日期會呈現白底紅字的日期
規則5.超出日期規則2時,無更新日期會呈現規則2的紛底紅字日期</t>
    </r>
  </si>
  <si>
    <t>機台組立完成的時間
規則1.引繼會議上的日期是白底黑字
規則2.製造人員搜尋專案工事,作業完成KEY上去日期按上確認。呈現灰底黑字(在引繼日期內)
規則3.超出規則1的日期時,有更新日期會呈現白底紅字的新日期
規則4.超出規則1的日期時,無更新日期會呈現規則1的紛底紅字日期
規則5.依次類推,有可能已更新的日期,還無法達成,繼續走規則3~4。</t>
  </si>
  <si>
    <t>機台test完成的時間
規則1.引繼會議上的日期是白底黑字
規則2.制御人員搜尋專案工事,作業完成KEY上去日期按上確認。呈現灰底黑字(在引繼日期內)
規則3.超出規則1的日期時,有更新日期會呈現白底紅字的新日期
規則4.超出規則1的日期時,無更新日期會呈現規則1的紛底紅字日期
規則5.依次類推,有可能已更新的日期,還無法達成,繼續走規則3~4。</t>
  </si>
  <si>
    <t>機台梱包完成的時間
規則1.引繼會議上的日期是白底黑字
規則2.生產倉庫人員搜尋專案工事,作業完成KEY上去日期按上確認。呈現灰底黑字(在引繼日期內)
規則3.超出規則1的日期時,有更新日期會呈現白底紅字的新日期
規則4.超出規則1的日期時,無更新日期會呈現規則1的紛底紅字日期
規則5.依次類推,有可能已更新的日期,還無法達成,繼續走規則3~4。</t>
  </si>
  <si>
    <t>機台M/I予定日
規則1.引繼會議上的日期是白底黑字
規則2.營業要變更日期,呈現是綠底紅字
規則3.欄位F.G.H.I.K.M.N.O.P.Q.R.若都沒完成,要重新開立引繼會議。
規則4.規則2.欄位H~若都沒完成,要重新開立引繼會議。
規則5.欄位P~沒完成,則在會議上,討論後,請各欄位負責人重新壓更新的日期即可。</t>
  </si>
  <si>
    <t>負責人員:營業</t>
  </si>
  <si>
    <t>在引繼會議時,即可得知
主要為專案工事負責的窗口</t>
  </si>
  <si>
    <t>負責人員:生產</t>
  </si>
  <si>
    <t>負責人員:製造/生產</t>
  </si>
  <si>
    <t>負責人員:機械</t>
  </si>
  <si>
    <t>負責人員:制御</t>
  </si>
  <si>
    <t>負責人員:生產(採購/倉庫)</t>
  </si>
  <si>
    <t>組立地點在平田時,負責單位製造部</t>
  </si>
  <si>
    <t>組立地點在平田時,負責單位制御部</t>
  </si>
  <si>
    <t>1.營業有變更時間</t>
  </si>
  <si>
    <t>1.營業有客戶的出貨時間</t>
  </si>
  <si>
    <t>工號/英文名</t>
  </si>
  <si>
    <t>這個欄位要可以修改</t>
  </si>
  <si>
    <t>組立地點非平田時,負責單位製造部</t>
  </si>
  <si>
    <r>
      <rPr>
        <rFont val="PMingLiu"/>
        <color theme="1"/>
        <sz val="12.0"/>
      </rPr>
      <t>2.填寫出貨通知單+</t>
    </r>
    <r>
      <rPr>
        <rFont val="Arial"/>
        <color rgb="FFFF0000"/>
        <sz val="12.0"/>
      </rPr>
      <t>Packing List (要能夾附件檔) *能由系統發出出貨通知信件給相關部門</t>
    </r>
  </si>
  <si>
    <t>PS.
1.作業完成確認日期，只能當日
2.作業延期日期,只能往後。
3.專案工事Pending時要在那邊作確認
　規則1.工事暫時追踪,營業課級主管MAILL連絡後,
  規則2.生產PJ主持人,會去按Pending或cancel,整列要作粉底黑字。
  規則3.工事重啟,營業窗口要maill連絡並開立引繼會議通知,生產PJ主持人,會去按重啟
  規則4.開立完引繼會議後,相關日程重新開始追蹤。</t>
  </si>
  <si>
    <t>用工號登入,即產生英文名</t>
  </si>
  <si>
    <t>是依照我想要修改方式呈現。</t>
  </si>
  <si>
    <t>N/A來源在引繼會議上時即填入</t>
  </si>
  <si>
    <t>ex.輸入</t>
  </si>
  <si>
    <t>Ex.</t>
  </si>
  <si>
    <t>負責人員:</t>
  </si>
  <si>
    <t>工號:1077</t>
  </si>
  <si>
    <t>X162-&gt;X413</t>
  </si>
  <si>
    <t>英文:Longer</t>
  </si>
  <si>
    <t>SP004-&gt;SP006</t>
  </si>
  <si>
    <t>後續會提供,該欄位</t>
  </si>
  <si>
    <t>客供</t>
  </si>
  <si>
    <t>可以key in的名單</t>
  </si>
  <si>
    <t>…等不限制我要改的內容</t>
  </si>
  <si>
    <t>項目</t>
  </si>
  <si>
    <t>資料寫入欄</t>
  </si>
  <si>
    <t>專案代號</t>
  </si>
  <si>
    <t xml:space="preserve"> 55-02137</t>
  </si>
  <si>
    <t>製作專案</t>
  </si>
  <si>
    <t>番号Type</t>
  </si>
  <si>
    <t>荏原製番</t>
  </si>
  <si>
    <t>\\192.168.1.110\04_Project\★1 HCT 300X Order Schedule管理表\營業\300X 仕様聯絡資料\H2-xxxx</t>
  </si>
  <si>
    <t>台灣平田機工(股)公司</t>
  </si>
  <si>
    <t>桃園縣新屋鄉新華路一段128號</t>
  </si>
  <si>
    <t>裝車日期</t>
  </si>
  <si>
    <r>
      <rPr>
        <rFont val="PMingLiu"/>
        <color theme="1"/>
        <sz val="12.0"/>
      </rPr>
      <t>友達光電股份有限公司(</t>
    </r>
    <r>
      <rPr>
        <rFont val="新細明體"/>
        <color theme="1"/>
        <sz val="12.0"/>
      </rPr>
      <t>L5D)</t>
    </r>
  </si>
  <si>
    <t>桃園縣龜山鄉華亞二路189號（華亞園區）</t>
  </si>
  <si>
    <t>裝車時間</t>
  </si>
  <si>
    <t>友達光電股份有限公司</t>
  </si>
  <si>
    <t>新竹市科學工業園區力行二路1號</t>
  </si>
  <si>
    <t>裝車地點</t>
  </si>
  <si>
    <t>桃園市中壢區福祥路298-1號</t>
  </si>
  <si>
    <r>
      <rPr>
        <rFont val="PMingLiu"/>
        <color theme="1"/>
        <sz val="12.0"/>
      </rPr>
      <t xml:space="preserve">友達光電股份有限公司龍科 </t>
    </r>
    <r>
      <rPr>
        <rFont val="新細明體"/>
        <color theme="1"/>
        <sz val="12.0"/>
      </rPr>
      <t>(</t>
    </r>
    <r>
      <rPr>
        <rFont val="新細明體"/>
        <color rgb="FF000000"/>
        <sz val="12.0"/>
      </rPr>
      <t>L6B 廠 / C6B 廠 / M02 廠</t>
    </r>
    <r>
      <rPr>
        <rFont val="新細明體"/>
        <color theme="1"/>
        <sz val="12.0"/>
      </rPr>
      <t>)</t>
    </r>
    <r>
      <rPr>
        <rFont val="新細明體"/>
        <color rgb="FF000000"/>
        <sz val="12.0"/>
      </rPr>
      <t xml:space="preserve"> </t>
    </r>
  </si>
  <si>
    <t>32542 桃園縣龍潭鄉龍科街228號 (友達光電龍科廠)</t>
  </si>
  <si>
    <t>裝車名稱</t>
  </si>
  <si>
    <t>台中市中部科學園區中科路1號</t>
  </si>
  <si>
    <t>到貨日期</t>
  </si>
  <si>
    <t>群創光電股份有限公司</t>
  </si>
  <si>
    <t>苗栗縣竹南鎮科學路160號</t>
  </si>
  <si>
    <t>到貨時間</t>
  </si>
  <si>
    <t>台灣芝浦先進科技股份有限公司</t>
  </si>
  <si>
    <t>新竹市信義街68號9樓</t>
  </si>
  <si>
    <t>到貨地點</t>
  </si>
  <si>
    <t>台灣積體電路製造股份有限公司 AP8  台南市新市區環西路一段3號</t>
  </si>
  <si>
    <t>東京威力科創股份有限公司</t>
  </si>
  <si>
    <t>新竹市埔頂路18號7樓</t>
  </si>
  <si>
    <t>客戶名稱</t>
  </si>
  <si>
    <t>台灣積體電路製造股份有限公司</t>
  </si>
  <si>
    <t>台灣凸版國際彩光股份有限公司</t>
  </si>
  <si>
    <t>709 台南市安南區科技一路36號（台南科技工業區）</t>
  </si>
  <si>
    <t>客戶簽收人</t>
  </si>
  <si>
    <t>AP8 劉韋智</t>
  </si>
  <si>
    <t xml:space="preserve">台灣荏原精密股份有限公司 </t>
  </si>
  <si>
    <t>303 新竹縣湖口鄉新竹工業區自強路5號</t>
  </si>
  <si>
    <t>客戶簽收電話</t>
  </si>
  <si>
    <t>#7553278</t>
  </si>
  <si>
    <t>台灣積體電路製造股份有限公司 (FB30庫房)</t>
  </si>
  <si>
    <r>
      <rPr>
        <rFont val="PMingLiu"/>
        <color theme="1"/>
        <sz val="12.0"/>
      </rPr>
      <t>桃園市龍潭區龍園六路101號</t>
    </r>
    <r>
      <rPr>
        <rFont val="新細明體"/>
        <color theme="1"/>
        <sz val="12.0"/>
      </rPr>
      <t>(北側)</t>
    </r>
  </si>
  <si>
    <t>車輛種類</t>
  </si>
  <si>
    <t>310cm 低板</t>
  </si>
  <si>
    <r>
      <rPr>
        <rFont val="PMingLiu"/>
        <color theme="1"/>
        <sz val="12.0"/>
      </rPr>
      <t>台灣積體電路製造股份有限公司(</t>
    </r>
    <r>
      <rPr>
        <rFont val="新細明體"/>
        <color theme="1"/>
        <sz val="12.0"/>
      </rPr>
      <t>6</t>
    </r>
    <r>
      <rPr>
        <rFont val="新細明體"/>
        <color rgb="FF000000"/>
        <sz val="12.0"/>
      </rPr>
      <t>號碼頭)</t>
    </r>
  </si>
  <si>
    <r>
      <rPr>
        <rFont val="PMingLiu"/>
        <color theme="1"/>
        <sz val="12.0"/>
      </rPr>
      <t>桃園市龍潭區龍園六路101號</t>
    </r>
  </si>
  <si>
    <t>車輛數</t>
  </si>
  <si>
    <t>共1輛</t>
  </si>
  <si>
    <t xml:space="preserve">台灣積體電路製造股份有限公司 </t>
  </si>
  <si>
    <t>新竹科學園區力行三路 (Tsmc12 P6 move in 口)</t>
  </si>
  <si>
    <t>接貨連絡人</t>
  </si>
  <si>
    <r>
      <rPr>
        <rFont val="PMingLiu"/>
        <color theme="1"/>
        <sz val="12.0"/>
      </rPr>
      <t xml:space="preserve">台灣積體電路製造股份有限公司 </t>
    </r>
    <r>
      <rPr>
        <rFont val="新細明體"/>
        <color theme="1"/>
        <sz val="12.0"/>
      </rPr>
      <t>(FAB12B</t>
    </r>
    <r>
      <rPr>
        <rFont val="新細明體"/>
        <color rgb="FF000000"/>
        <sz val="12.0"/>
      </rPr>
      <t>新竹</t>
    </r>
    <r>
      <rPr>
        <rFont val="新細明體"/>
        <color theme="1"/>
        <sz val="12.0"/>
      </rPr>
      <t xml:space="preserve"> P4)</t>
    </r>
  </si>
  <si>
    <t>300新竹市東區園區二路168號</t>
  </si>
  <si>
    <t>接貨人電話</t>
  </si>
  <si>
    <r>
      <rPr>
        <rFont val="PMingLiu"/>
        <color theme="1"/>
        <sz val="12.0"/>
      </rPr>
      <t>台灣積體電路製造股份有限公司 (五廠</t>
    </r>
    <r>
      <rPr>
        <rFont val="新細明體"/>
        <color theme="1"/>
        <sz val="12.0"/>
      </rPr>
      <t xml:space="preserve"> </t>
    </r>
    <r>
      <rPr>
        <rFont val="新細明體"/>
        <color rgb="FF000000"/>
        <sz val="12.0"/>
      </rPr>
      <t>庫房)</t>
    </r>
  </si>
  <si>
    <t>300-77新竹科學園區園區三路121號</t>
  </si>
  <si>
    <t>PO NO.</t>
  </si>
  <si>
    <t>4507489384</t>
  </si>
  <si>
    <r>
      <rPr>
        <rFont val="PMingLiu"/>
        <color theme="1"/>
        <sz val="12.0"/>
      </rPr>
      <t>台灣積體電路製造股份有限公司 (七廠</t>
    </r>
    <r>
      <rPr>
        <rFont val="新細明體"/>
        <color theme="1"/>
        <sz val="12.0"/>
      </rPr>
      <t xml:space="preserve"> </t>
    </r>
    <r>
      <rPr>
        <rFont val="新細明體"/>
        <color rgb="FF000000"/>
        <sz val="12.0"/>
      </rPr>
      <t>庫房)</t>
    </r>
  </si>
  <si>
    <t>300-77新竹科學工業園區研新二路6號  (1號碼頭)</t>
  </si>
  <si>
    <t>55-0244</t>
  </si>
  <si>
    <r>
      <rPr>
        <rFont val="PMingLiu"/>
        <color theme="1"/>
        <sz val="12.0"/>
      </rPr>
      <t>長</t>
    </r>
    <r>
      <rPr>
        <rFont val="Arial"/>
        <color rgb="FF000000"/>
        <sz val="11.0"/>
      </rPr>
      <t>(L)</t>
    </r>
  </si>
  <si>
    <r>
      <rPr>
        <rFont val="PMingLiu"/>
        <color theme="1"/>
        <sz val="12.0"/>
      </rPr>
      <t>幅</t>
    </r>
    <r>
      <rPr>
        <rFont val="Arial"/>
        <color rgb="FF000000"/>
        <sz val="11.0"/>
      </rPr>
      <t>(W)</t>
    </r>
  </si>
  <si>
    <r>
      <rPr>
        <rFont val="PMingLiu"/>
        <color theme="1"/>
        <sz val="12.0"/>
      </rPr>
      <t>高</t>
    </r>
    <r>
      <rPr>
        <rFont val="新細明體"/>
        <color rgb="FF000000"/>
        <sz val="12.0"/>
      </rPr>
      <t>(</t>
    </r>
    <r>
      <rPr>
        <rFont val="Arial"/>
        <color rgb="FF000000"/>
        <sz val="11.0"/>
      </rPr>
      <t>H)</t>
    </r>
  </si>
  <si>
    <t>數量</t>
  </si>
  <si>
    <t>重量</t>
  </si>
  <si>
    <t>車次</t>
  </si>
  <si>
    <t>揚發實業有限公司</t>
  </si>
  <si>
    <t>新北市林口區宏昌街86號</t>
  </si>
  <si>
    <t>(mm)</t>
  </si>
  <si>
    <t>(Set)</t>
  </si>
  <si>
    <t>(Tom)</t>
  </si>
  <si>
    <t>(輛)</t>
  </si>
  <si>
    <r>
      <rPr>
        <rFont val="PMingLiu"/>
        <color theme="1"/>
        <sz val="12.0"/>
      </rPr>
      <t>台灣積體電路製造股份有限公司 (FAB12</t>
    </r>
    <r>
      <rPr>
        <rFont val="新細明體"/>
        <color theme="1"/>
        <sz val="12.0"/>
      </rPr>
      <t>B</t>
    </r>
    <r>
      <rPr>
        <rFont val="新細明體"/>
        <color rgb="FF000000"/>
        <sz val="12.0"/>
      </rPr>
      <t>新竹</t>
    </r>
    <r>
      <rPr>
        <rFont val="新細明體"/>
        <color theme="1"/>
        <sz val="12.0"/>
      </rPr>
      <t xml:space="preserve"> P5)</t>
    </r>
  </si>
  <si>
    <t>物品名稱</t>
  </si>
  <si>
    <t xml:space="preserve"> KWE300-2P-FO-AL EFEM</t>
  </si>
  <si>
    <t>台灣積體電路製造股份有限公司 (P6廠)</t>
  </si>
  <si>
    <t>新竹縣寶山鄉新竹科學園區園區二路166號</t>
  </si>
  <si>
    <t>台灣積體電路製造股份有限公司 (P7廠)</t>
  </si>
  <si>
    <t>300新竹市東區科學園區園區二路188號</t>
  </si>
  <si>
    <t>741台南市善化區環西路二段5號 (南科7路與南科7路間)</t>
  </si>
  <si>
    <r>
      <rPr>
        <rFont val="PMingLiu"/>
        <color theme="1"/>
        <sz val="12.0"/>
      </rPr>
      <t xml:space="preserve">台灣積體電路製造股份有限公司 </t>
    </r>
    <r>
      <rPr>
        <rFont val="新細明體"/>
        <color theme="1"/>
        <sz val="12.0"/>
      </rPr>
      <t>(</t>
    </r>
    <r>
      <rPr>
        <rFont val="新細明體"/>
        <color rgb="FF000000"/>
        <sz val="12.0"/>
      </rPr>
      <t>台積總部及晶圓十二A廠</t>
    </r>
    <r>
      <rPr>
        <rFont val="新細明體"/>
        <color theme="1"/>
        <sz val="12.0"/>
      </rPr>
      <t>)</t>
    </r>
  </si>
  <si>
    <t>300-78 新竹科學工業園區力行六路8號</t>
  </si>
  <si>
    <t>台灣積體電路製造股份有限公司 (研發中心及晶圓十二B廠)</t>
  </si>
  <si>
    <t>300-75 新竹科學工業園區園區二路168號</t>
  </si>
  <si>
    <r>
      <rPr>
        <rFont val="PMingLiu"/>
        <color theme="1"/>
        <sz val="12.0"/>
      </rPr>
      <t>台灣積體電路製造股份有限公司 (晶圓十四廠</t>
    </r>
    <r>
      <rPr>
        <rFont val="新細明體"/>
        <color theme="1"/>
        <sz val="12.0"/>
      </rPr>
      <t>)</t>
    </r>
  </si>
  <si>
    <t>741-44 台南科學工業園區南科北路1號之1</t>
  </si>
  <si>
    <r>
      <rPr>
        <rFont val="PMingLiu"/>
        <color theme="1"/>
        <sz val="12.0"/>
      </rPr>
      <t>台灣積體電路製造股份有限公司 (晶圓十五廠</t>
    </r>
    <r>
      <rPr>
        <rFont val="新細明體"/>
        <color theme="1"/>
        <sz val="12.0"/>
      </rPr>
      <t>)</t>
    </r>
  </si>
  <si>
    <t>428-82 中部科學工業園區科雅六路1號</t>
  </si>
  <si>
    <t>台灣積體電路製造股份有限公司 (晶圓十五廠 庫房)</t>
  </si>
  <si>
    <r>
      <rPr>
        <rFont val="PMingLiu"/>
        <color theme="1"/>
        <sz val="12.0"/>
      </rPr>
      <t>台灣積體電路製造股份有限公司 (</t>
    </r>
    <r>
      <rPr>
        <rFont val="新細明體"/>
        <color theme="1"/>
        <sz val="12.0"/>
      </rPr>
      <t>FAB15B</t>
    </r>
    <r>
      <rPr>
        <rFont val="新細明體"/>
        <color rgb="FF000000"/>
        <sz val="12.0"/>
      </rPr>
      <t>台中</t>
    </r>
    <r>
      <rPr>
        <rFont val="新細明體"/>
        <color theme="1"/>
        <sz val="12.0"/>
      </rPr>
      <t>P5</t>
    </r>
    <r>
      <rPr>
        <rFont val="新細明體"/>
        <color rgb="FF000000"/>
        <sz val="12.0"/>
      </rPr>
      <t>)</t>
    </r>
  </si>
  <si>
    <t xml:space="preserve"> 台中市大雅區科園2路 (中部科學園區)</t>
  </si>
  <si>
    <r>
      <rPr>
        <rFont val="PMingLiu"/>
        <color theme="1"/>
        <sz val="12.0"/>
      </rPr>
      <t xml:space="preserve">台灣積體電路製造股份有限公司 </t>
    </r>
    <r>
      <rPr>
        <rFont val="新細明體"/>
        <color theme="1"/>
        <sz val="12.0"/>
      </rPr>
      <t>(FAB15B</t>
    </r>
    <r>
      <rPr>
        <rFont val="新細明體"/>
        <color rgb="FF000000"/>
        <sz val="12.0"/>
      </rPr>
      <t>台中</t>
    </r>
    <r>
      <rPr>
        <rFont val="新細明體"/>
        <color theme="1"/>
        <sz val="12.0"/>
      </rPr>
      <t>P6)</t>
    </r>
  </si>
  <si>
    <r>
      <rPr>
        <rFont val="PMingLiu"/>
        <color theme="1"/>
        <sz val="12.0"/>
      </rPr>
      <t>台灣積體電路製造股份有限公司 (晶圓三廠</t>
    </r>
    <r>
      <rPr>
        <rFont val="新細明體"/>
        <color theme="1"/>
        <sz val="12.0"/>
      </rPr>
      <t>)</t>
    </r>
  </si>
  <si>
    <t>300-77 新竹科學工業園區研新一路9號</t>
  </si>
  <si>
    <r>
      <rPr>
        <rFont val="PMingLiu"/>
        <color theme="1"/>
        <sz val="12.0"/>
      </rPr>
      <t>台灣積體電路製造股份有限公司 (晶圓五廠</t>
    </r>
    <r>
      <rPr>
        <rFont val="新細明體"/>
        <color theme="1"/>
        <sz val="12.0"/>
      </rPr>
      <t>)</t>
    </r>
  </si>
  <si>
    <t>300-77 新竹科學工業園區園區三路121號</t>
  </si>
  <si>
    <t>台灣積體電路製造股份有限公司 (晶圓六廠)</t>
  </si>
  <si>
    <t>741-44 台南科學工業園區南科北路1號</t>
  </si>
  <si>
    <t>台灣積體電路製造股份有限公司 (晶圓八廠)</t>
  </si>
  <si>
    <t>300-78 新竹科學工業園區力行路25號</t>
  </si>
  <si>
    <t>台灣積體電路製造股份有限公司 (晶圓二廠)</t>
  </si>
  <si>
    <t>台灣積體電路製造股份有限公司 (先進封測一廠)</t>
  </si>
  <si>
    <t>300-77 新竹科學工業園區研新二路6號</t>
  </si>
  <si>
    <t>台灣積體電路製造股份有限公司 ((先進封測二廠)</t>
  </si>
  <si>
    <t>741-44 台南市善化區南科北路1-1號</t>
  </si>
  <si>
    <t>台灣積體電路製造股份有限公司 (先進封測三廠)</t>
  </si>
  <si>
    <t>325-42 桃園市龍潭區龍園六路101號</t>
  </si>
  <si>
    <t>富元精密鍍膜股份有限公司</t>
  </si>
  <si>
    <t xml:space="preserve">桃園縣全區 平鎮市中興路平鎮段458號 </t>
  </si>
  <si>
    <t xml:space="preserve">友達光電總部 / 友達科技中心 / L3B 廠 </t>
  </si>
  <si>
    <t xml:space="preserve">灣新竹市30078科學工業園區力行二路1號 </t>
  </si>
  <si>
    <t xml:space="preserve">新竹 L3A 廠 </t>
  </si>
  <si>
    <t xml:space="preserve">臺灣新竹市30078科學工業園區力行六路5號 </t>
  </si>
  <si>
    <t>L3C 廠</t>
  </si>
  <si>
    <t xml:space="preserve">臺灣新竹市30078科學工業園區力行路23號 </t>
  </si>
  <si>
    <t xml:space="preserve">龍潭 L4A 廠/ L5AB 廠 / C5A 廠 / M01 廠 </t>
  </si>
  <si>
    <t xml:space="preserve">臺灣桃園縣32543龍潭鄉渴望園區新和路1號 </t>
  </si>
  <si>
    <t xml:space="preserve">L5C 廠 / L6A 廠 / L7A 廠 / C5C 廠 / C6A 廠 / C7A 廠 / M11 廠  </t>
  </si>
  <si>
    <t xml:space="preserve">臺灣台中市40763中部科學園區中科路1號 </t>
  </si>
  <si>
    <t xml:space="preserve">               台灣平田機工股份有限公司</t>
  </si>
  <si>
    <t xml:space="preserve">     出貨派車單</t>
  </si>
  <si>
    <t>載貨數</t>
  </si>
  <si>
    <t>出貨地</t>
  </si>
  <si>
    <r>
      <rPr>
        <rFont val="Wingdings 2"/>
        <color theme="1"/>
        <sz val="16.0"/>
      </rPr>
      <t>R</t>
    </r>
    <r>
      <rPr>
        <rFont val="新細明體"/>
        <color rgb="FF000000"/>
        <sz val="12.0"/>
      </rPr>
      <t>過磅</t>
    </r>
  </si>
  <si>
    <r>
      <rPr>
        <rFont val="Wingdings 2"/>
        <color theme="1"/>
        <sz val="16.0"/>
      </rPr>
      <t>R</t>
    </r>
    <r>
      <rPr>
        <rFont val="新細明體"/>
        <color rgb="FF000000"/>
        <sz val="12.0"/>
      </rPr>
      <t>客戶簽收單</t>
    </r>
  </si>
  <si>
    <t>(取回-客戶簽收人的名片)</t>
  </si>
  <si>
    <t>連絡人</t>
  </si>
  <si>
    <t>①接貨窗口：</t>
  </si>
  <si>
    <t>②簽收窗口：</t>
  </si>
  <si>
    <t>司機:</t>
  </si>
  <si>
    <t>填表人</t>
  </si>
  <si>
    <t>Mei</t>
  </si>
  <si>
    <t>車號 / 電話 :</t>
  </si>
  <si>
    <t>司機留存</t>
  </si>
  <si>
    <t>QP09-B</t>
  </si>
  <si>
    <r>
      <rPr>
        <rFont val="Wingdings 2"/>
        <color theme="1"/>
        <sz val="16.0"/>
      </rPr>
      <t>R</t>
    </r>
    <r>
      <rPr>
        <rFont val="新細明體"/>
        <color rgb="FF000000"/>
        <sz val="12.0"/>
      </rPr>
      <t>過磅</t>
    </r>
  </si>
  <si>
    <r>
      <rPr>
        <rFont val="Wingdings 2"/>
        <color theme="1"/>
        <sz val="16.0"/>
      </rPr>
      <t>R</t>
    </r>
    <r>
      <rPr>
        <rFont val="新細明體"/>
        <color rgb="FF000000"/>
        <sz val="12.0"/>
      </rPr>
      <t>客戶簽收單</t>
    </r>
  </si>
  <si>
    <t>平田留存</t>
  </si>
  <si>
    <t>55-02137</t>
  </si>
  <si>
    <t>Tool   ID.
PO NO.</t>
  </si>
  <si>
    <r>
      <rPr>
        <rFont val="微軟正黑體 Light"/>
        <b/>
        <color rgb="FF000000"/>
        <sz val="16.0"/>
      </rPr>
      <t>Sponsor</t>
    </r>
    <r>
      <rPr>
        <rFont val="微軟正黑體 Light"/>
        <b/>
        <color rgb="FF000000"/>
        <sz val="16.0"/>
      </rPr>
      <t>窗口
連絡電話</t>
    </r>
  </si>
  <si>
    <t xml:space="preserve"> location ID</t>
  </si>
  <si>
    <t>劉韋智 #7553278</t>
  </si>
  <si>
    <t xml:space="preserve"> APT DAF Curing POP-60A-PCFC </t>
  </si>
  <si>
    <t>TAIWAN HIRATA CORPORATION</t>
  </si>
  <si>
    <t>No.128, Sec. 1, Sinwu Township, Taoyuan Hsien, Taiwan</t>
  </si>
  <si>
    <t>TEL: +886-3-477-7977  FAX:+ 886-3-477-7153</t>
  </si>
  <si>
    <t>製單人員:</t>
  </si>
  <si>
    <t>Mero</t>
  </si>
  <si>
    <r>
      <rPr>
        <rFont val="微軟正黑體"/>
        <color rgb="FF000000"/>
        <sz val="28.0"/>
        <u/>
      </rPr>
      <t xml:space="preserve">55-02137 </t>
    </r>
    <r>
      <rPr>
        <rFont val="微軟正黑體"/>
        <color theme="1"/>
        <sz val="28.0"/>
        <u/>
      </rPr>
      <t>送 貨 單</t>
    </r>
  </si>
  <si>
    <t xml:space="preserve">送貨地址: </t>
  </si>
  <si>
    <t>PO NO:</t>
  </si>
  <si>
    <t>日期:</t>
  </si>
  <si>
    <t>NO.</t>
  </si>
  <si>
    <t>Name</t>
  </si>
  <si>
    <t>Type</t>
  </si>
  <si>
    <t>Parts No.</t>
  </si>
  <si>
    <t>Quantity</t>
  </si>
  <si>
    <t>KWE300-4P-FO-AL_APT(POP-60A-PCFC)</t>
  </si>
  <si>
    <t>1 SET</t>
  </si>
  <si>
    <t>BK# A0J9W</t>
  </si>
  <si>
    <t>以下空白</t>
  </si>
  <si>
    <t>客戶回簽欄:</t>
  </si>
  <si>
    <t>擔當窗口:</t>
  </si>
  <si>
    <t>AP8 劉韋智 #7553278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</si>
</sst>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&quot;月&quot;d&quot;日&quot;"/>
    <numFmt numFmtId="165" formatCode="yyyy/m/d"/>
    <numFmt numFmtId="166" formatCode="m/d"/>
    <numFmt numFmtId="167" formatCode="#,##0_);\(#,##0\)"/>
    <numFmt numFmtId="168" formatCode="0.0_);\(0.0\)"/>
    <numFmt numFmtId="169" formatCode="yyyy\ \ &quot;/&quot;\ \ mm\ &quot;/&quot;\ \ \ dd\ "/>
    <numFmt numFmtId="170" formatCode="hh:mm"/>
    <numFmt numFmtId="171" formatCode="&quot;          &quot;@"/>
  </numFmts>
  <fonts count="36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PMingLiu"/>
    </font>
    <font>
      <sz val="14.0"/>
      <color theme="1"/>
      <name val="Microsoft JhengHei"/>
    </font>
    <font>
      <sz val="14.0"/>
      <color rgb="FF0000FF"/>
      <name val="Microsoft JhengHei"/>
    </font>
    <font>
      <sz val="12.0"/>
      <color theme="1"/>
      <name val="Microsoft JhengHei"/>
    </font>
    <font>
      <sz val="12.0"/>
      <color rgb="FFFF0000"/>
      <name val="PMingLiu"/>
    </font>
    <font>
      <color theme="1"/>
      <name val="Arial"/>
    </font>
    <font>
      <b/>
      <sz val="12.0"/>
      <color rgb="FF0000FF"/>
      <name val="PMingLiu"/>
    </font>
    <font>
      <sz val="12.0"/>
      <color theme="10"/>
      <name val="PMingLiu"/>
    </font>
    <font>
      <b/>
      <sz val="12.0"/>
      <color theme="10"/>
      <name val="PMingLiu"/>
    </font>
    <font>
      <sz val="16.0"/>
      <color theme="0"/>
      <name val="PMingLiu"/>
    </font>
    <font>
      <sz val="10.0"/>
      <color theme="1"/>
      <name val="PMingLiu"/>
    </font>
    <font>
      <sz val="16.0"/>
      <color theme="1"/>
      <name val="PMingLiu"/>
    </font>
    <font/>
    <font>
      <sz val="24.0"/>
      <color theme="1"/>
      <name val="PMingLiu"/>
    </font>
    <font>
      <sz val="22.0"/>
      <color theme="1"/>
      <name val="PMingLiu"/>
    </font>
    <font>
      <sz val="18.0"/>
      <color theme="1"/>
      <name val="PMingLiu"/>
    </font>
    <font>
      <sz val="8.0"/>
      <color rgb="FFFF0000"/>
      <name val="PMingLiu"/>
    </font>
    <font>
      <sz val="10.0"/>
      <color rgb="FFFF0000"/>
      <name val="PMingLiu"/>
    </font>
    <font>
      <sz val="14.0"/>
      <color rgb="FFFF0000"/>
      <name val="PMingLiu"/>
    </font>
    <font>
      <b/>
      <sz val="48.0"/>
      <color theme="1"/>
      <name val="微軟正黑體 Light"/>
    </font>
    <font>
      <b/>
      <sz val="12.0"/>
      <color theme="1"/>
      <name val="微軟正黑體 Light"/>
    </font>
    <font>
      <b/>
      <sz val="16.0"/>
      <color theme="1"/>
      <name val="微軟正黑體 Light"/>
    </font>
    <font>
      <b/>
      <sz val="16.0"/>
      <color rgb="FF000000"/>
      <name val="微軟正黑體 Light"/>
    </font>
    <font>
      <b/>
      <sz val="20.0"/>
      <color theme="1"/>
      <name val="微軟正黑體 Light"/>
    </font>
    <font>
      <b/>
      <sz val="14.0"/>
      <color theme="1"/>
      <name val="微軟正黑體 Light"/>
    </font>
    <font>
      <b/>
      <sz val="12.0"/>
      <color theme="1"/>
      <name val="Microsoft JhengHei"/>
    </font>
    <font>
      <u/>
      <sz val="28.0"/>
      <color theme="1"/>
      <name val="Microsoft JhengHei"/>
    </font>
    <font>
      <sz val="36.0"/>
      <color theme="1"/>
      <name val="Microsoft JhengHei"/>
    </font>
    <font>
      <sz val="16.0"/>
      <color theme="1"/>
      <name val="Microsoft JhengHei"/>
    </font>
    <font>
      <b/>
      <sz val="14.0"/>
      <color rgb="FF000000"/>
      <name val="Microsoft JhengHei"/>
    </font>
    <font>
      <b/>
      <sz val="16.0"/>
      <color theme="1"/>
      <name val="Microsoft JhengHei"/>
    </font>
    <font>
      <b/>
      <u/>
      <sz val="16.0"/>
      <color theme="1"/>
      <name val="Microsoft JhengHei"/>
    </font>
    <font>
      <sz val="16.0"/>
      <color rgb="FF000000"/>
      <name val="Microsoft JhengHei"/>
    </font>
    <font>
      <sz val="14.0"/>
      <color rgb="FF000000"/>
      <name val="Microsoft JhengHei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D8D8D8"/>
        <bgColor rgb="FFD8D8D8"/>
      </patternFill>
    </fill>
    <fill>
      <patternFill patternType="solid">
        <fgColor rgb="FFFFCCFF"/>
        <bgColor rgb="FFFFCCFF"/>
      </patternFill>
    </fill>
    <fill>
      <patternFill patternType="solid">
        <fgColor rgb="FFCCFF99"/>
        <bgColor rgb="FFCCFF99"/>
      </patternFill>
    </fill>
    <fill>
      <patternFill patternType="solid">
        <fgColor rgb="FFD9F2D0"/>
        <bgColor rgb="FFD9F2D0"/>
      </patternFill>
    </fill>
    <fill>
      <patternFill patternType="solid">
        <fgColor rgb="FFE49EDD"/>
        <bgColor rgb="FFE49EDD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5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left style="dotted">
        <color rgb="FF00FF00"/>
      </left>
      <right style="thin">
        <color rgb="FF000000"/>
      </right>
      <top style="thin">
        <color rgb="FF000000"/>
      </top>
      <bottom style="dotted">
        <color rgb="FF00FF00"/>
      </bottom>
    </border>
    <border>
      <left style="thin">
        <color rgb="FF000000"/>
      </left>
    </border>
    <border>
      <left style="dotted">
        <color rgb="FF00FF00"/>
      </left>
      <right style="thin">
        <color rgb="FF000000"/>
      </right>
      <top style="dotted">
        <color rgb="FF00FF00"/>
      </top>
      <bottom style="dotted">
        <color rgb="FF00FF00"/>
      </bottom>
    </border>
    <border>
      <left style="thin">
        <color rgb="FF000000"/>
      </left>
      <bottom style="thin">
        <color rgb="FF000000"/>
      </bottom>
    </border>
    <border>
      <left style="dotted">
        <color rgb="FF00FF00"/>
      </left>
      <right style="thin">
        <color rgb="FF000000"/>
      </right>
      <top style="dotted">
        <color rgb="FF00FF00"/>
      </top>
      <bottom style="thin">
        <color rgb="FF000000"/>
      </bottom>
    </border>
    <border>
      <left style="dotted">
        <color rgb="FFFF3399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FF3399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dotted">
        <color rgb="FFFF3399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dotted">
        <color rgb="FFFFFF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dotted">
        <color rgb="FFFFFF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shrinkToFit="1" vertical="center" wrapText="0"/>
    </xf>
    <xf borderId="1" fillId="2" fontId="4" numFmtId="165" xfId="0" applyAlignment="1" applyBorder="1" applyFont="1" applyNumberFormat="1">
      <alignment horizontal="center" shrinkToFit="1" vertical="center" wrapText="0"/>
    </xf>
    <xf borderId="1" fillId="2" fontId="4" numFmtId="166" xfId="0" applyAlignment="1" applyBorder="1" applyFont="1" applyNumberFormat="1">
      <alignment horizontal="center" shrinkToFit="1" vertical="center" wrapText="0"/>
    </xf>
    <xf borderId="1" fillId="3" fontId="4" numFmtId="20" xfId="0" applyAlignment="1" applyBorder="1" applyFill="1" applyFont="1" applyNumberFormat="1">
      <alignment horizontal="center" shrinkToFit="1" vertical="center" wrapText="0"/>
    </xf>
    <xf borderId="1" fillId="3" fontId="4" numFmtId="166" xfId="0" applyAlignment="1" applyBorder="1" applyFont="1" applyNumberFormat="1">
      <alignment horizontal="center" shrinkToFit="1" vertical="center" wrapText="0"/>
    </xf>
    <xf borderId="1" fillId="0" fontId="3" numFmtId="0" xfId="0" applyAlignment="1" applyBorder="1" applyFont="1">
      <alignment horizontal="center" shrinkToFit="1" vertical="center" wrapText="0"/>
    </xf>
    <xf borderId="1" fillId="0" fontId="5" numFmtId="49" xfId="0" applyAlignment="1" applyBorder="1" applyFont="1" applyNumberFormat="1">
      <alignment shrinkToFit="0" vertical="center" wrapText="1"/>
    </xf>
    <xf borderId="1" fillId="4" fontId="2" numFmtId="165" xfId="0" applyAlignment="1" applyBorder="1" applyFill="1" applyFont="1" applyNumberFormat="1">
      <alignment vertical="center"/>
    </xf>
    <xf borderId="1" fillId="0" fontId="2" numFmtId="165" xfId="0" applyAlignment="1" applyBorder="1" applyFont="1" applyNumberFormat="1">
      <alignment vertical="center"/>
    </xf>
    <xf borderId="1" fillId="0" fontId="2" numFmtId="165" xfId="0" applyAlignment="1" applyBorder="1" applyFont="1" applyNumberFormat="1">
      <alignment horizontal="center" vertical="center"/>
    </xf>
    <xf borderId="1" fillId="5" fontId="6" numFmtId="165" xfId="0" applyAlignment="1" applyBorder="1" applyFill="1" applyFont="1" applyNumberFormat="1">
      <alignment vertical="center"/>
    </xf>
    <xf borderId="1" fillId="4" fontId="2" numFmtId="165" xfId="0" applyAlignment="1" applyBorder="1" applyFont="1" applyNumberFormat="1">
      <alignment horizontal="center" vertical="center"/>
    </xf>
    <xf borderId="1" fillId="6" fontId="6" numFmtId="165" xfId="0" applyAlignment="1" applyBorder="1" applyFill="1" applyFont="1" applyNumberFormat="1">
      <alignment vertical="center"/>
    </xf>
    <xf borderId="1" fillId="0" fontId="2" numFmtId="20" xfId="0" applyAlignment="1" applyBorder="1" applyFont="1" applyNumberFormat="1">
      <alignment vertical="center"/>
    </xf>
    <xf borderId="1" fillId="0" fontId="2" numFmtId="0" xfId="0" applyAlignment="1" applyBorder="1" applyFont="1">
      <alignment vertical="center"/>
    </xf>
    <xf borderId="1" fillId="4" fontId="6" numFmtId="165" xfId="0" applyAlignment="1" applyBorder="1" applyFont="1" applyNumberFormat="1">
      <alignment horizontal="center" vertical="center"/>
    </xf>
    <xf borderId="1" fillId="7" fontId="2" numFmtId="165" xfId="0" applyAlignment="1" applyBorder="1" applyFill="1" applyFont="1" applyNumberFormat="1">
      <alignment horizontal="center" vertical="center"/>
    </xf>
    <xf borderId="1" fillId="7" fontId="2" numFmtId="165" xfId="0" applyAlignment="1" applyBorder="1" applyFont="1" applyNumberFormat="1">
      <alignment vertical="center"/>
    </xf>
    <xf borderId="1" fillId="7" fontId="5" numFmtId="49" xfId="0" applyAlignment="1" applyBorder="1" applyFont="1" applyNumberFormat="1">
      <alignment shrinkToFit="0" vertical="center" wrapText="1"/>
    </xf>
    <xf borderId="1" fillId="0" fontId="6" numFmtId="165" xfId="0" applyAlignment="1" applyBorder="1" applyFont="1" applyNumberFormat="1">
      <alignment vertical="center"/>
    </xf>
    <xf borderId="1" fillId="0" fontId="3" numFmtId="0" xfId="0" applyAlignment="1" applyBorder="1" applyFont="1">
      <alignment horizontal="left" shrinkToFit="1" vertical="center" wrapText="0"/>
    </xf>
    <xf borderId="1" fillId="4" fontId="6" numFmtId="165" xfId="0" applyAlignment="1" applyBorder="1" applyFont="1" applyNumberFormat="1">
      <alignment vertical="center"/>
    </xf>
    <xf borderId="2" fillId="2" fontId="2" numFmtId="0" xfId="0" applyAlignment="1" applyBorder="1" applyFont="1">
      <alignment shrinkToFit="0" vertical="center" wrapText="1"/>
    </xf>
    <xf borderId="0" fillId="0" fontId="7" numFmtId="0" xfId="0" applyAlignment="1" applyFont="1">
      <alignment readingOrder="0" vertical="center"/>
    </xf>
    <xf borderId="2" fillId="6" fontId="2" numFmtId="0" xfId="0" applyAlignment="1" applyBorder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vertical="center"/>
    </xf>
    <xf borderId="3" fillId="0" fontId="2" numFmtId="0" xfId="0" applyAlignment="1" applyBorder="1" applyFont="1">
      <alignment vertical="center"/>
    </xf>
    <xf borderId="4" fillId="8" fontId="8" numFmtId="0" xfId="0" applyAlignment="1" applyBorder="1" applyFill="1" applyFont="1">
      <alignment horizontal="left" shrinkToFit="1" vertical="center" wrapText="0"/>
    </xf>
    <xf borderId="5" fillId="0" fontId="2" numFmtId="0" xfId="0" applyAlignment="1" applyBorder="1" applyFont="1">
      <alignment vertical="center"/>
    </xf>
    <xf borderId="6" fillId="8" fontId="8" numFmtId="0" xfId="0" applyAlignment="1" applyBorder="1" applyFont="1">
      <alignment horizontal="left" shrinkToFit="1" vertical="center" wrapText="0"/>
    </xf>
    <xf borderId="7" fillId="0" fontId="2" numFmtId="0" xfId="0" applyAlignment="1" applyBorder="1" applyFont="1">
      <alignment vertical="center"/>
    </xf>
    <xf borderId="8" fillId="8" fontId="8" numFmtId="0" xfId="0" applyAlignment="1" applyBorder="1" applyFont="1">
      <alignment horizontal="left" shrinkToFit="1" vertical="center" wrapText="0"/>
    </xf>
    <xf borderId="0" fillId="0" fontId="9" numFmtId="0" xfId="0" applyAlignment="1" applyFont="1">
      <alignment vertical="center"/>
    </xf>
    <xf borderId="3" fillId="0" fontId="2" numFmtId="0" xfId="0" applyAlignment="1" applyBorder="1" applyFont="1">
      <alignment shrinkToFit="1" vertical="center" wrapText="0"/>
    </xf>
    <xf borderId="9" fillId="8" fontId="8" numFmtId="165" xfId="0" applyAlignment="1" applyBorder="1" applyFont="1" applyNumberFormat="1">
      <alignment horizontal="left" vertical="center"/>
    </xf>
    <xf borderId="10" fillId="0" fontId="2" numFmtId="0" xfId="0" applyAlignment="1" applyBorder="1" applyFont="1">
      <alignment vertical="center"/>
    </xf>
    <xf borderId="5" fillId="0" fontId="2" numFmtId="0" xfId="0" applyAlignment="1" applyBorder="1" applyFont="1">
      <alignment shrinkToFit="1" vertical="center" wrapText="0"/>
    </xf>
    <xf borderId="11" fillId="8" fontId="8" numFmtId="20" xfId="0" applyAlignment="1" applyBorder="1" applyFont="1" applyNumberFormat="1">
      <alignment horizontal="left" vertical="center"/>
    </xf>
    <xf borderId="11" fillId="9" fontId="8" numFmtId="0" xfId="0" applyAlignment="1" applyBorder="1" applyFill="1" applyFont="1">
      <alignment horizontal="left" shrinkToFit="1" vertical="center" wrapText="0"/>
    </xf>
    <xf borderId="7" fillId="0" fontId="2" numFmtId="0" xfId="0" applyAlignment="1" applyBorder="1" applyFont="1">
      <alignment shrinkToFit="1" vertical="center" wrapText="0"/>
    </xf>
    <xf borderId="12" fillId="8" fontId="8" numFmtId="0" xfId="0" applyAlignment="1" applyBorder="1" applyFont="1">
      <alignment horizontal="left" shrinkToFit="1" vertical="center" wrapText="0"/>
    </xf>
    <xf borderId="13" fillId="8" fontId="8" numFmtId="165" xfId="0" applyAlignment="1" applyBorder="1" applyFont="1" applyNumberFormat="1">
      <alignment horizontal="left" vertical="center"/>
    </xf>
    <xf borderId="14" fillId="8" fontId="8" numFmtId="20" xfId="0" applyAlignment="1" applyBorder="1" applyFont="1" applyNumberFormat="1">
      <alignment horizontal="left" vertical="center"/>
    </xf>
    <xf borderId="1" fillId="0" fontId="2" numFmtId="49" xfId="0" applyAlignment="1" applyBorder="1" applyFont="1" applyNumberFormat="1">
      <alignment vertical="center"/>
    </xf>
    <xf borderId="14" fillId="9" fontId="8" numFmtId="20" xfId="0" applyAlignment="1" applyBorder="1" applyFont="1" applyNumberFormat="1">
      <alignment horizontal="left" shrinkToFit="0" vertical="center" wrapText="1"/>
    </xf>
    <xf borderId="15" fillId="8" fontId="8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vertical="center"/>
    </xf>
    <xf quotePrefix="1" borderId="16" fillId="8" fontId="10" numFmtId="49" xfId="0" applyAlignment="1" applyBorder="1" applyFont="1" applyNumberFormat="1">
      <alignment horizontal="left" vertical="center"/>
    </xf>
    <xf borderId="16" fillId="8" fontId="8" numFmtId="0" xfId="0" applyAlignment="1" applyBorder="1" applyFont="1">
      <alignment horizontal="left" vertical="center"/>
    </xf>
    <xf quotePrefix="1" borderId="16" fillId="8" fontId="10" numFmtId="49" xfId="0" applyAlignment="1" applyBorder="1" applyFont="1" applyNumberFormat="1">
      <alignment horizontal="left" shrinkToFit="0" vertical="center" wrapText="1"/>
    </xf>
    <xf borderId="17" fillId="9" fontId="2" numFmtId="0" xfId="0" applyAlignment="1" applyBorder="1" applyFont="1">
      <alignment shrinkToFit="1" vertical="center" wrapText="0"/>
    </xf>
    <xf quotePrefix="1" borderId="16" fillId="8" fontId="8" numFmtId="49" xfId="0" applyAlignment="1" applyBorder="1" applyFont="1" applyNumberFormat="1">
      <alignment horizontal="left" vertical="center"/>
    </xf>
    <xf borderId="2" fillId="10" fontId="11" numFmtId="0" xfId="0" applyAlignment="1" applyBorder="1" applyFill="1" applyFont="1">
      <alignment shrinkToFit="1" vertical="center" wrapText="0"/>
    </xf>
    <xf borderId="2" fillId="9" fontId="8" numFmtId="0" xfId="0" applyAlignment="1" applyBorder="1" applyFont="1">
      <alignment horizontal="left" vertical="center"/>
    </xf>
    <xf borderId="0" fillId="0" fontId="2" numFmtId="0" xfId="0" applyAlignment="1" applyFont="1">
      <alignment horizontal="center" shrinkToFit="1" vertical="center" wrapText="0"/>
    </xf>
    <xf borderId="18" fillId="0" fontId="2" numFmtId="0" xfId="0" applyAlignment="1" applyBorder="1" applyFont="1">
      <alignment horizontal="center" shrinkToFit="1" vertical="center" wrapText="0"/>
    </xf>
    <xf borderId="2" fillId="9" fontId="2" numFmtId="0" xfId="0" applyAlignment="1" applyBorder="1" applyFont="1">
      <alignment shrinkToFit="1" vertical="center" wrapText="0"/>
    </xf>
    <xf borderId="19" fillId="9" fontId="8" numFmtId="0" xfId="0" applyAlignment="1" applyBorder="1" applyFont="1">
      <alignment horizontal="left" vertical="center"/>
    </xf>
    <xf borderId="0" fillId="0" fontId="12" numFmtId="0" xfId="0" applyAlignment="1" applyFont="1">
      <alignment horizontal="center" vertical="center"/>
    </xf>
    <xf borderId="20" fillId="0" fontId="12" numFmtId="0" xfId="0" applyAlignment="1" applyBorder="1" applyFont="1">
      <alignment horizontal="center" vertical="center"/>
    </xf>
    <xf borderId="0" fillId="0" fontId="2" numFmtId="0" xfId="0" applyAlignment="1" applyFont="1">
      <alignment shrinkToFit="1" vertical="center" wrapText="0"/>
    </xf>
    <xf borderId="21" fillId="8" fontId="8" numFmtId="0" xfId="0" applyAlignment="1" applyBorder="1" applyFont="1">
      <alignment horizontal="left" shrinkToFit="1" vertical="center" wrapText="0"/>
    </xf>
    <xf borderId="22" fillId="8" fontId="8" numFmtId="167" xfId="0" applyAlignment="1" applyBorder="1" applyFont="1" applyNumberFormat="1">
      <alignment horizontal="center" shrinkToFit="1" vertical="center" wrapText="0"/>
    </xf>
    <xf borderId="22" fillId="8" fontId="8" numFmtId="168" xfId="0" applyAlignment="1" applyBorder="1" applyFont="1" applyNumberFormat="1">
      <alignment horizontal="center" shrinkToFit="1" vertical="center" wrapText="0"/>
    </xf>
    <xf borderId="23" fillId="9" fontId="8" numFmtId="0" xfId="0" applyAlignment="1" applyBorder="1" applyFont="1">
      <alignment horizontal="center" shrinkToFit="1" vertical="center" wrapText="0"/>
    </xf>
    <xf borderId="21" fillId="8" fontId="8" numFmtId="49" xfId="0" applyAlignment="1" applyBorder="1" applyFont="1" applyNumberFormat="1">
      <alignment horizontal="left" shrinkToFit="1" vertical="center" wrapText="0"/>
    </xf>
    <xf borderId="0" fillId="0" fontId="2" numFmtId="0" xfId="0" applyAlignment="1" applyFont="1">
      <alignment horizontal="left" vertical="center"/>
    </xf>
    <xf borderId="0" fillId="0" fontId="13" numFmtId="0" xfId="0" applyAlignment="1" applyFont="1">
      <alignment horizontal="center" vertical="center"/>
    </xf>
    <xf borderId="24" fillId="0" fontId="13" numFmtId="0" xfId="0" applyAlignment="1" applyBorder="1" applyFont="1">
      <alignment horizontal="center" vertical="center"/>
    </xf>
    <xf borderId="24" fillId="0" fontId="14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25" fillId="0" fontId="15" numFmtId="0" xfId="0" applyAlignment="1" applyBorder="1" applyFont="1">
      <alignment horizontal="center" shrinkToFit="1" vertical="center" wrapText="0"/>
    </xf>
    <xf borderId="26" fillId="0" fontId="14" numFmtId="0" xfId="0" applyAlignment="1" applyBorder="1" applyFont="1">
      <alignment vertical="center"/>
    </xf>
    <xf borderId="27" fillId="0" fontId="14" numFmtId="0" xfId="0" applyAlignment="1" applyBorder="1" applyFont="1">
      <alignment vertical="center"/>
    </xf>
    <xf borderId="1" fillId="0" fontId="16" numFmtId="0" xfId="0" applyAlignment="1" applyBorder="1" applyFont="1">
      <alignment horizontal="center" shrinkToFit="1" vertical="center" wrapText="0"/>
    </xf>
    <xf borderId="25" fillId="0" fontId="15" numFmtId="169" xfId="0" applyAlignment="1" applyBorder="1" applyFont="1" applyNumberFormat="1">
      <alignment horizontal="center" shrinkToFit="1" vertical="center" wrapText="0"/>
    </xf>
    <xf borderId="27" fillId="0" fontId="16" numFmtId="170" xfId="0" applyAlignment="1" applyBorder="1" applyFont="1" applyNumberFormat="1">
      <alignment horizontal="center" vertical="center"/>
    </xf>
    <xf borderId="25" fillId="0" fontId="17" numFmtId="20" xfId="0" applyAlignment="1" applyBorder="1" applyFont="1" applyNumberFormat="1">
      <alignment horizontal="center" vertical="center"/>
    </xf>
    <xf borderId="28" fillId="0" fontId="2" numFmtId="0" xfId="0" applyAlignment="1" applyBorder="1" applyFont="1">
      <alignment horizontal="center" vertical="center"/>
    </xf>
    <xf borderId="3" fillId="0" fontId="17" numFmtId="20" xfId="0" applyAlignment="1" applyBorder="1" applyFont="1" applyNumberFormat="1">
      <alignment horizontal="center" shrinkToFit="1" vertical="center" wrapText="0"/>
    </xf>
    <xf borderId="29" fillId="0" fontId="14" numFmtId="0" xfId="0" applyAlignment="1" applyBorder="1" applyFont="1">
      <alignment vertical="center"/>
    </xf>
    <xf borderId="30" fillId="0" fontId="14" numFmtId="0" xfId="0" applyAlignment="1" applyBorder="1" applyFont="1">
      <alignment vertical="center"/>
    </xf>
    <xf borderId="28" fillId="0" fontId="13" numFmtId="0" xfId="0" applyAlignment="1" applyBorder="1" applyFont="1">
      <alignment horizontal="center" vertical="center"/>
    </xf>
    <xf borderId="28" fillId="0" fontId="13" numFmtId="0" xfId="0" applyAlignment="1" applyBorder="1" applyFont="1">
      <alignment horizontal="center" shrinkToFit="0" vertical="center" wrapText="1"/>
    </xf>
    <xf borderId="10" fillId="0" fontId="14" numFmtId="0" xfId="0" applyAlignment="1" applyBorder="1" applyFont="1">
      <alignment vertical="center"/>
    </xf>
    <xf borderId="7" fillId="0" fontId="14" numFmtId="0" xfId="0" applyAlignment="1" applyBorder="1" applyFont="1">
      <alignment vertical="center"/>
    </xf>
    <xf borderId="31" fillId="0" fontId="14" numFmtId="0" xfId="0" applyAlignment="1" applyBorder="1" applyFont="1">
      <alignment vertical="center"/>
    </xf>
    <xf borderId="10" fillId="0" fontId="13" numFmtId="0" xfId="0" applyAlignment="1" applyBorder="1" applyFont="1">
      <alignment horizontal="center" vertical="center"/>
    </xf>
    <xf borderId="10" fillId="0" fontId="18" numFmtId="0" xfId="0" applyAlignment="1" applyBorder="1" applyFont="1">
      <alignment horizontal="center" shrinkToFit="1" vertical="center" wrapText="0"/>
    </xf>
    <xf borderId="3" fillId="0" fontId="2" numFmtId="0" xfId="0" applyAlignment="1" applyBorder="1" applyFont="1">
      <alignment horizontal="left" shrinkToFit="0" vertical="center" wrapText="1"/>
    </xf>
    <xf borderId="29" fillId="0" fontId="2" numFmtId="0" xfId="0" applyAlignment="1" applyBorder="1" applyFont="1">
      <alignment horizontal="right" shrinkToFit="0" vertical="center" wrapText="1"/>
    </xf>
    <xf borderId="29" fillId="0" fontId="19" numFmtId="0" xfId="0" applyAlignment="1" applyBorder="1" applyFont="1">
      <alignment horizontal="left" vertical="center"/>
    </xf>
    <xf borderId="7" fillId="0" fontId="2" numFmtId="0" xfId="0" applyAlignment="1" applyBorder="1" applyFont="1">
      <alignment horizontal="center" shrinkToFit="0" vertical="center" wrapText="1"/>
    </xf>
    <xf borderId="24" fillId="0" fontId="2" numFmtId="171" xfId="0" applyAlignment="1" applyBorder="1" applyFont="1" applyNumberFormat="1">
      <alignment horizontal="left" shrinkToFit="0" vertical="center" wrapText="1"/>
    </xf>
    <xf borderId="28" fillId="0" fontId="12" numFmtId="0" xfId="0" applyAlignment="1" applyBorder="1" applyFont="1">
      <alignment horizontal="center" shrinkToFit="0" vertical="center" wrapText="1"/>
    </xf>
    <xf borderId="30" fillId="0" fontId="17" numFmtId="0" xfId="0" applyAlignment="1" applyBorder="1" applyFont="1">
      <alignment horizontal="center" shrinkToFit="1" vertical="center" wrapText="0"/>
    </xf>
    <xf borderId="10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vertical="center"/>
    </xf>
    <xf borderId="31" fillId="0" fontId="12" numFmtId="165" xfId="0" applyAlignment="1" applyBorder="1" applyFont="1" applyNumberFormat="1">
      <alignment horizontal="right" vertical="bottom"/>
    </xf>
    <xf borderId="32" fillId="9" fontId="20" numFmtId="0" xfId="0" applyAlignment="1" applyBorder="1" applyFont="1">
      <alignment horizontal="center" vertical="center"/>
    </xf>
    <xf borderId="33" fillId="0" fontId="14" numFmtId="0" xfId="0" applyAlignment="1" applyBorder="1" applyFont="1">
      <alignment vertical="center"/>
    </xf>
    <xf borderId="34" fillId="0" fontId="14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10" fillId="0" fontId="18" numFmtId="0" xfId="0" applyAlignment="1" applyBorder="1" applyFont="1">
      <alignment horizontal="center" shrinkToFit="0" vertical="center" wrapText="1"/>
    </xf>
    <xf borderId="24" fillId="0" fontId="2" numFmtId="171" xfId="0" applyAlignment="1" applyBorder="1" applyFont="1" applyNumberFormat="1">
      <alignment horizontal="center" shrinkToFit="0" vertical="center" wrapText="1"/>
    </xf>
    <xf borderId="32" fillId="9" fontId="20" numFmtId="0" xfId="0" applyAlignment="1" applyBorder="1" applyFont="1">
      <alignment horizontal="left" vertical="center"/>
    </xf>
    <xf borderId="0" fillId="0" fontId="2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0" fillId="0" fontId="22" numFmtId="0" xfId="0" applyAlignment="1" applyFont="1">
      <alignment vertical="bottom"/>
    </xf>
    <xf borderId="35" fillId="2" fontId="23" numFmtId="0" xfId="0" applyAlignment="1" applyBorder="1" applyFont="1">
      <alignment horizontal="center" shrinkToFit="0" vertical="center" wrapText="1"/>
    </xf>
    <xf borderId="36" fillId="2" fontId="24" numFmtId="0" xfId="0" applyAlignment="1" applyBorder="1" applyFont="1">
      <alignment horizontal="center" shrinkToFit="0" vertical="center" wrapText="1"/>
    </xf>
    <xf borderId="37" fillId="2" fontId="24" numFmtId="0" xfId="0" applyAlignment="1" applyBorder="1" applyFont="1">
      <alignment horizontal="center" vertical="center"/>
    </xf>
    <xf quotePrefix="1" borderId="38" fillId="9" fontId="25" numFmtId="49" xfId="0" applyAlignment="1" applyBorder="1" applyFont="1" applyNumberFormat="1">
      <alignment horizontal="center" shrinkToFit="1" vertical="center" wrapText="0"/>
    </xf>
    <xf borderId="38" fillId="9" fontId="26" numFmtId="165" xfId="0" applyAlignment="1" applyBorder="1" applyFont="1" applyNumberFormat="1">
      <alignment horizontal="center" shrinkToFit="1" vertical="center" wrapText="0"/>
    </xf>
    <xf borderId="38" fillId="9" fontId="22" numFmtId="0" xfId="0" applyAlignment="1" applyBorder="1" applyFont="1">
      <alignment horizontal="center" shrinkToFit="1" vertical="center" wrapText="0"/>
    </xf>
    <xf borderId="39" fillId="0" fontId="14" numFmtId="0" xfId="0" applyAlignment="1" applyBorder="1" applyFont="1">
      <alignment vertical="center"/>
    </xf>
    <xf borderId="0" fillId="0" fontId="27" numFmtId="0" xfId="0" applyAlignment="1" applyFont="1">
      <alignment horizontal="left" vertical="center"/>
    </xf>
    <xf borderId="0" fillId="0" fontId="27" numFmtId="0" xfId="0" applyAlignment="1" applyFont="1">
      <alignment vertical="center"/>
    </xf>
    <xf borderId="2" fillId="11" fontId="5" numFmtId="0" xfId="0" applyAlignment="1" applyBorder="1" applyFill="1" applyFont="1">
      <alignment vertical="center"/>
    </xf>
    <xf borderId="0" fillId="0" fontId="27" numFmtId="0" xfId="0" applyAlignment="1" applyFont="1">
      <alignment horizontal="right" vertical="center"/>
    </xf>
    <xf borderId="0" fillId="0" fontId="27" numFmtId="0" xfId="0" applyAlignment="1" applyFont="1">
      <alignment horizontal="center" vertical="center"/>
    </xf>
    <xf borderId="40" fillId="11" fontId="28" numFmtId="0" xfId="0" applyAlignment="1" applyBorder="1" applyFont="1">
      <alignment horizontal="center" vertical="center"/>
    </xf>
    <xf borderId="41" fillId="0" fontId="14" numFmtId="0" xfId="0" applyAlignment="1" applyBorder="1" applyFont="1">
      <alignment vertical="center"/>
    </xf>
    <xf borderId="42" fillId="0" fontId="14" numFmtId="0" xfId="0" applyAlignment="1" applyBorder="1" applyFont="1">
      <alignment vertical="center"/>
    </xf>
    <xf borderId="2" fillId="11" fontId="29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30" numFmtId="0" xfId="0" applyAlignment="1" applyFont="1">
      <alignment vertical="center"/>
    </xf>
    <xf borderId="0" fillId="0" fontId="3" numFmtId="0" xfId="0" applyAlignment="1" applyFont="1">
      <alignment vertical="center"/>
    </xf>
    <xf borderId="2" fillId="11" fontId="30" numFmtId="0" xfId="0" applyAlignment="1" applyBorder="1" applyFont="1">
      <alignment vertical="center"/>
    </xf>
    <xf borderId="0" fillId="0" fontId="31" numFmtId="0" xfId="0" applyAlignment="1" applyFont="1">
      <alignment horizontal="left" vertical="center"/>
    </xf>
    <xf borderId="2" fillId="11" fontId="30" numFmtId="0" xfId="0" applyAlignment="1" applyBorder="1" applyFont="1">
      <alignment horizontal="center" vertical="center"/>
    </xf>
    <xf borderId="0" fillId="0" fontId="30" numFmtId="165" xfId="0" applyAlignment="1" applyFont="1" applyNumberFormat="1">
      <alignment horizontal="center" shrinkToFit="0" vertical="center" wrapText="1"/>
    </xf>
    <xf borderId="1" fillId="12" fontId="32" numFmtId="0" xfId="0" applyAlignment="1" applyBorder="1" applyFill="1" applyFont="1">
      <alignment horizontal="center" vertical="center"/>
    </xf>
    <xf borderId="1" fillId="9" fontId="32" numFmtId="0" xfId="0" applyAlignment="1" applyBorder="1" applyFont="1">
      <alignment horizontal="center" vertical="center"/>
    </xf>
    <xf borderId="1" fillId="9" fontId="30" numFmtId="0" xfId="0" applyAlignment="1" applyBorder="1" applyFont="1">
      <alignment horizontal="left" shrinkToFit="0" vertical="center" wrapText="1"/>
    </xf>
    <xf borderId="1" fillId="9" fontId="30" numFmtId="0" xfId="0" applyAlignment="1" applyBorder="1" applyFont="1">
      <alignment horizontal="center" vertical="center"/>
    </xf>
    <xf borderId="1" fillId="11" fontId="30" numFmtId="0" xfId="0" applyAlignment="1" applyBorder="1" applyFont="1">
      <alignment vertical="center"/>
    </xf>
    <xf borderId="1" fillId="9" fontId="30" numFmtId="0" xfId="0" applyAlignment="1" applyBorder="1" applyFont="1">
      <alignment horizontal="left" vertical="center"/>
    </xf>
    <xf borderId="2" fillId="9" fontId="30" numFmtId="0" xfId="0" applyAlignment="1" applyBorder="1" applyFont="1">
      <alignment horizontal="left" vertical="center"/>
    </xf>
    <xf borderId="43" fillId="11" fontId="33" numFmtId="0" xfId="0" applyAlignment="1" applyBorder="1" applyFont="1">
      <alignment vertical="center"/>
    </xf>
    <xf borderId="44" fillId="11" fontId="3" numFmtId="0" xfId="0" applyAlignment="1" applyBorder="1" applyFont="1">
      <alignment vertical="center"/>
    </xf>
    <xf borderId="45" fillId="11" fontId="3" numFmtId="0" xfId="0" applyAlignment="1" applyBorder="1" applyFont="1">
      <alignment vertical="center"/>
    </xf>
    <xf borderId="2" fillId="11" fontId="3" numFmtId="0" xfId="0" applyAlignment="1" applyBorder="1" applyFont="1">
      <alignment vertical="center"/>
    </xf>
    <xf borderId="46" fillId="11" fontId="30" numFmtId="0" xfId="0" applyAlignment="1" applyBorder="1" applyFont="1">
      <alignment vertical="center"/>
    </xf>
    <xf borderId="47" fillId="11" fontId="3" numFmtId="0" xfId="0" applyAlignment="1" applyBorder="1" applyFont="1">
      <alignment vertical="center"/>
    </xf>
    <xf borderId="0" fillId="0" fontId="34" numFmtId="0" xfId="0" applyAlignment="1" applyFont="1">
      <alignment vertical="center"/>
    </xf>
    <xf borderId="0" fillId="0" fontId="35" numFmtId="0" xfId="0" applyAlignment="1" applyFont="1">
      <alignment shrinkToFit="0" vertical="center" wrapText="1"/>
    </xf>
    <xf borderId="0" fillId="0" fontId="30" numFmtId="0" xfId="0" applyAlignment="1" applyFont="1">
      <alignment horizontal="left" vertical="center"/>
    </xf>
    <xf borderId="17" fillId="11" fontId="30" numFmtId="0" xfId="0" applyAlignment="1" applyBorder="1" applyFont="1">
      <alignment vertical="center"/>
    </xf>
    <xf borderId="48" fillId="11" fontId="3" numFmtId="0" xfId="0" applyAlignment="1" applyBorder="1" applyFont="1">
      <alignment vertical="center"/>
    </xf>
    <xf borderId="49" fillId="11" fontId="3" numFmtId="0" xfId="0" applyAlignment="1" applyBorder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3" Type="http://schemas.openxmlformats.org/officeDocument/2006/relationships/externalLink" Target="externalLinks/externalLink5.xml"/><Relationship Id="rId12" Type="http://schemas.openxmlformats.org/officeDocument/2006/relationships/externalLink" Target="externalLinks/externalLink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1.xml"/><Relationship Id="rId15" Type="http://schemas.openxmlformats.org/officeDocument/2006/relationships/externalLink" Target="externalLinks/externalLink7.xml"/><Relationship Id="rId14" Type="http://schemas.openxmlformats.org/officeDocument/2006/relationships/externalLink" Target="externalLinks/externalLink6.xml"/><Relationship Id="rId17" Type="http://customschemas.google.com/relationships/workbookmetadata" Target="metadata"/><Relationship Id="rId16" Type="http://schemas.openxmlformats.org/officeDocument/2006/relationships/externalLink" Target="externalLinks/externalLink8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4</xdr:row>
      <xdr:rowOff>133350</xdr:rowOff>
    </xdr:from>
    <xdr:ext cx="123825" cy="4038600"/>
    <xdr:sp>
      <xdr:nvSpPr>
        <xdr:cNvPr id="3" name="Shape 3"/>
        <xdr:cNvSpPr/>
      </xdr:nvSpPr>
      <xdr:spPr>
        <a:xfrm>
          <a:off x="5293613" y="1770225"/>
          <a:ext cx="104775" cy="4019550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12700">
          <a:solidFill>
            <a:srgbClr val="FF3399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133350</xdr:colOff>
      <xdr:row>11</xdr:row>
      <xdr:rowOff>228600</xdr:rowOff>
    </xdr:from>
    <xdr:ext cx="1038225" cy="476250"/>
    <xdr:sp>
      <xdr:nvSpPr>
        <xdr:cNvPr id="4" name="Shape 4"/>
        <xdr:cNvSpPr/>
      </xdr:nvSpPr>
      <xdr:spPr>
        <a:xfrm>
          <a:off x="4831650" y="3546638"/>
          <a:ext cx="1028700" cy="4667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FF3399"/>
              </a:solidFill>
              <a:latin typeface="Arial"/>
              <a:ea typeface="Arial"/>
              <a:cs typeface="Arial"/>
              <a:sym typeface="Arial"/>
            </a:rPr>
            <a:t>出貨派車單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1390650" cy="257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Himc_nt\users\Masa\TOKYO\HIKIAIto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HIMC_NT\Masa\TOKYO\ALLW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ffileserver10\&#20107;&#26989;&#26412;&#37096;\Documents%20and%20Settings\e_sugimoto\Local%20Settings\Temporary%20Internet%20Files\Content.IE5\K1C3GV0B\A0-A1-A2-&#9312;&#9313;&#65288;&#38306;&#20418;&#20250;&#31038;&#29992;&#12501;&#12457;&#12540;&#12510;&#12483;&#12488;&#65289;rev3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1.110\Users\Neil\Desktop\ExcelCalendarTemplate_v1-4.xlsx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HIMC_NT\Masa\TOKYO\all.xls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1.110\Users\Neil\Desktop\2018&#34892;&#20107;&#26310;.xlsx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1.110\55-F009%20Wafer%20Packing%20Sorter\&#12304;To%20Do%20List&#12305;\55-F009_To%20Do%20List(20130826)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1.110\04_Project\&#33290;&#30828;&#30879;E&#27133;\&#20107;&#26989;&#35336;&#21123;\2023&#24180;&#29151;&#26989;&#35336;&#21123;\2023&#24180;&#24230;%20&#22770;&#19978;&#20104;&#23450;&#26696;&#20214;-12&#26376;.1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6"/>
      <sheetName val="W"/>
      <sheetName val="ALL"/>
      <sheetName val="Panel Wash"/>
      <sheetName val="リスト"/>
      <sheetName val="受注高"/>
      <sheetName val="Classification Lis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LL"/>
      <sheetName val="Masterdata"/>
      <sheetName val="Status"/>
      <sheetName val="選択menu"/>
      <sheetName val="リスト"/>
      <sheetName val="月報グラフ"/>
      <sheetName val="展開"/>
      <sheetName val="プルダウン項目"/>
      <sheetName val="受注高"/>
      <sheetName val="List"/>
      <sheetName val="2020.1~2022.8月"/>
      <sheetName val="2020_1~2022_8月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（入力シート）Ａ-0"/>
      <sheetName val="（入力シート）Ａ-1"/>
      <sheetName val="（入力シート）A-2-②"/>
      <sheetName val="（入力シート）A-2-①"/>
      <sheetName val="（自動計算）Ａ-0円転"/>
      <sheetName val="（自動計算）Ａ-1円転"/>
      <sheetName val="（自動計算）A-2-②円転"/>
      <sheetName val="（自動計算）A-2-①円転"/>
      <sheetName val="    "/>
      <sheetName val="Ａ-0（記入要領）"/>
      <sheetName val="Ａ-1（記入要領）"/>
      <sheetName val="A-2（記入要領）"/>
      <sheetName val="BS科目の説明"/>
      <sheetName val="BS算出の補足説明"/>
      <sheetName val="推移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elp"/>
      <sheetName val="Calendar"/>
      <sheetName val="Settings"/>
    </sheetNames>
    <sheetDataSet>
      <sheetData sheetId="0" refreshError="1"/>
      <sheetData sheetId="1" refreshError="1"/>
      <sheetData sheetId="2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3"/>
      <sheetName val="UK"/>
      <sheetName val="（入力シート）A-2-①"/>
      <sheetName val="全体MAP-数量・金額-"/>
      <sheetName val="【損益見込】HCT円換算"/>
      <sheetName val="Ju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工作表1"/>
      <sheetName val="Week"/>
      <sheetName val="NEW Scheduld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Do List"/>
      <sheetName val="設備"/>
      <sheetName val="工程"/>
      <sheetName val="区分"/>
      <sheetName val="改訂履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逾期未出貨案件LIST"/>
      <sheetName val="2024年1月受注&amp;売上追踪案件"/>
      <sheetName val="2023年計劃進度"/>
      <sheetName val="2023~2024年事業計劃案件LIST"/>
      <sheetName val="2023年受注圖表 "/>
      <sheetName val="2023年売上圖表 "/>
      <sheetName val="2024年受注圖表"/>
      <sheetName val="2024年売上圖表"/>
      <sheetName val="sorter 驗收進度"/>
      <sheetName val="2022年受注圖表  "/>
      <sheetName val="2022年売上圖表 "/>
      <sheetName val="2022.1~2023.8月"/>
      <sheetName val="sorter 各年MI台數統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56"/>
    <col customWidth="1" min="2" max="2" width="19.33"/>
    <col customWidth="1" min="3" max="3" width="35.11"/>
    <col customWidth="1" min="4" max="4" width="11.78"/>
    <col customWidth="1" min="5" max="5" width="21.33"/>
    <col customWidth="1" min="6" max="6" width="35.89"/>
    <col customWidth="1" min="7" max="7" width="38.0"/>
    <col customWidth="1" min="8" max="8" width="41.56"/>
    <col customWidth="1" min="9" max="9" width="37.67"/>
    <col customWidth="1" min="10" max="10" width="16.67"/>
    <col customWidth="1" min="11" max="11" width="28.0"/>
    <col customWidth="1" min="12" max="12" width="16.67"/>
    <col customWidth="1" min="13" max="13" width="22.67"/>
    <col customWidth="1" min="14" max="14" width="16.67"/>
    <col customWidth="1" min="15" max="15" width="30.67"/>
    <col customWidth="1" min="16" max="16" width="30.22"/>
    <col customWidth="1" min="17" max="17" width="35.11"/>
    <col customWidth="1" min="18" max="18" width="32.0"/>
    <col customWidth="1" min="19" max="19" width="21.67"/>
    <col customWidth="1" min="20" max="20" width="14.67"/>
    <col customWidth="1" min="21" max="26" width="6.78"/>
  </cols>
  <sheetData>
    <row r="1" ht="16.5" customHeight="1">
      <c r="A1" s="1" t="s">
        <v>0</v>
      </c>
      <c r="B1" s="2">
        <v>46210.0</v>
      </c>
      <c r="F1" s="1" t="s">
        <v>1</v>
      </c>
      <c r="G1" s="1" t="s">
        <v>2</v>
      </c>
      <c r="H1" s="1" t="s">
        <v>3</v>
      </c>
      <c r="I1" s="1" t="s">
        <v>3</v>
      </c>
      <c r="J1" s="1" t="s">
        <v>3</v>
      </c>
      <c r="K1" s="1" t="s">
        <v>3</v>
      </c>
      <c r="L1" s="1" t="s">
        <v>3</v>
      </c>
      <c r="M1" s="1" t="s">
        <v>3</v>
      </c>
      <c r="N1" s="1" t="s">
        <v>3</v>
      </c>
      <c r="O1" s="1" t="s">
        <v>3</v>
      </c>
      <c r="P1" s="3" t="s">
        <v>4</v>
      </c>
      <c r="Q1" s="1" t="s">
        <v>5</v>
      </c>
      <c r="R1" s="1" t="s">
        <v>6</v>
      </c>
      <c r="S1" s="1" t="s">
        <v>7</v>
      </c>
      <c r="T1" s="1" t="s">
        <v>8</v>
      </c>
      <c r="X1" s="1" t="s">
        <v>3</v>
      </c>
    </row>
    <row r="2" ht="72.0" customHeight="1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5" t="s">
        <v>16</v>
      </c>
      <c r="I2" s="6" t="s">
        <v>17</v>
      </c>
      <c r="J2" s="6" t="s">
        <v>18</v>
      </c>
      <c r="K2" s="6" t="s">
        <v>19</v>
      </c>
      <c r="L2" s="6" t="s">
        <v>20</v>
      </c>
      <c r="M2" s="6" t="s">
        <v>21</v>
      </c>
      <c r="N2" s="6" t="s">
        <v>22</v>
      </c>
      <c r="O2" s="6" t="s">
        <v>23</v>
      </c>
      <c r="P2" s="6" t="s">
        <v>24</v>
      </c>
      <c r="Q2" s="6" t="s">
        <v>25</v>
      </c>
      <c r="R2" s="6" t="s">
        <v>26</v>
      </c>
      <c r="S2" s="5" t="s">
        <v>27</v>
      </c>
      <c r="T2" s="7" t="s">
        <v>28</v>
      </c>
      <c r="U2" s="6" t="s">
        <v>29</v>
      </c>
      <c r="V2" s="6" t="s">
        <v>30</v>
      </c>
      <c r="W2" s="6" t="s">
        <v>31</v>
      </c>
      <c r="X2" s="8" t="s">
        <v>32</v>
      </c>
    </row>
    <row r="3" ht="16.5" customHeight="1">
      <c r="A3" s="9" t="s">
        <v>33</v>
      </c>
      <c r="B3" s="9" t="s">
        <v>34</v>
      </c>
      <c r="C3" s="10" t="s">
        <v>35</v>
      </c>
      <c r="D3" s="10" t="s">
        <v>36</v>
      </c>
      <c r="E3" s="10" t="s">
        <v>37</v>
      </c>
      <c r="F3" s="11">
        <v>46112.0</v>
      </c>
      <c r="G3" s="11">
        <v>46106.0</v>
      </c>
      <c r="H3" s="12">
        <v>46204.0</v>
      </c>
      <c r="I3" s="12">
        <v>46204.0</v>
      </c>
      <c r="J3" s="13" t="s">
        <v>38</v>
      </c>
      <c r="K3" s="14">
        <v>46191.0</v>
      </c>
      <c r="L3" s="15" t="s">
        <v>39</v>
      </c>
      <c r="M3" s="11">
        <v>46175.0</v>
      </c>
      <c r="N3" s="13" t="s">
        <v>40</v>
      </c>
      <c r="O3" s="12">
        <v>46204.0</v>
      </c>
      <c r="P3" s="12">
        <v>46234.0</v>
      </c>
      <c r="Q3" s="12">
        <v>46236.0</v>
      </c>
      <c r="R3" s="12">
        <v>46237.0</v>
      </c>
      <c r="S3" s="16">
        <v>46218.0</v>
      </c>
      <c r="T3" s="17" t="s">
        <v>41</v>
      </c>
      <c r="U3" s="18" t="s">
        <v>42</v>
      </c>
      <c r="V3" s="18" t="s">
        <v>43</v>
      </c>
      <c r="W3" s="18" t="s">
        <v>44</v>
      </c>
      <c r="X3" s="18"/>
    </row>
    <row r="4" ht="27.0" customHeight="1">
      <c r="A4" s="9" t="s">
        <v>45</v>
      </c>
      <c r="B4" s="9" t="s">
        <v>46</v>
      </c>
      <c r="C4" s="10" t="s">
        <v>47</v>
      </c>
      <c r="D4" s="10" t="s">
        <v>36</v>
      </c>
      <c r="E4" s="10" t="s">
        <v>37</v>
      </c>
      <c r="F4" s="19">
        <v>46163.0</v>
      </c>
      <c r="G4" s="19">
        <v>46194.0</v>
      </c>
      <c r="H4" s="12">
        <v>46211.0</v>
      </c>
      <c r="I4" s="12">
        <v>46225.0</v>
      </c>
      <c r="J4" s="13" t="s">
        <v>48</v>
      </c>
      <c r="K4" s="12">
        <v>46197.0</v>
      </c>
      <c r="L4" s="20" t="s">
        <v>49</v>
      </c>
      <c r="M4" s="21">
        <v>46203.0</v>
      </c>
      <c r="N4" s="11" t="s">
        <v>50</v>
      </c>
      <c r="O4" s="11" t="s">
        <v>50</v>
      </c>
      <c r="P4" s="12">
        <v>46239.0</v>
      </c>
      <c r="Q4" s="12"/>
      <c r="R4" s="12"/>
      <c r="S4" s="12">
        <v>46241.0</v>
      </c>
      <c r="T4" s="18" t="s">
        <v>41</v>
      </c>
      <c r="U4" s="18" t="s">
        <v>51</v>
      </c>
      <c r="V4" s="18" t="s">
        <v>52</v>
      </c>
      <c r="W4" s="18" t="s">
        <v>53</v>
      </c>
      <c r="X4" s="18"/>
    </row>
    <row r="5" ht="16.5" customHeight="1">
      <c r="A5" s="9" t="s">
        <v>54</v>
      </c>
      <c r="B5" s="9" t="s">
        <v>55</v>
      </c>
      <c r="C5" s="10" t="s">
        <v>56</v>
      </c>
      <c r="D5" s="10" t="s">
        <v>36</v>
      </c>
      <c r="E5" s="10" t="s">
        <v>57</v>
      </c>
      <c r="F5" s="11" t="s">
        <v>58</v>
      </c>
      <c r="G5" s="11" t="s">
        <v>58</v>
      </c>
      <c r="H5" s="11">
        <v>46127.0</v>
      </c>
      <c r="I5" s="11">
        <v>46135.0</v>
      </c>
      <c r="J5" s="13" t="s">
        <v>59</v>
      </c>
      <c r="K5" s="12"/>
      <c r="L5" s="13" t="s">
        <v>60</v>
      </c>
      <c r="M5" s="12"/>
      <c r="N5" s="13" t="s">
        <v>61</v>
      </c>
      <c r="O5" s="12"/>
      <c r="P5" s="12"/>
      <c r="Q5" s="12"/>
      <c r="R5" s="12"/>
      <c r="S5" s="12">
        <v>46203.0</v>
      </c>
      <c r="T5" s="18" t="s">
        <v>41</v>
      </c>
      <c r="U5" s="18" t="s">
        <v>62</v>
      </c>
      <c r="V5" s="18" t="s">
        <v>43</v>
      </c>
      <c r="W5" s="18" t="s">
        <v>63</v>
      </c>
      <c r="X5" s="18"/>
    </row>
    <row r="6" ht="16.5" customHeight="1">
      <c r="A6" s="9" t="s">
        <v>64</v>
      </c>
      <c r="B6" s="9" t="s">
        <v>65</v>
      </c>
      <c r="C6" s="10" t="s">
        <v>66</v>
      </c>
      <c r="D6" s="22" t="s">
        <v>67</v>
      </c>
      <c r="E6" s="22" t="s">
        <v>37</v>
      </c>
      <c r="F6" s="11">
        <v>46097.0</v>
      </c>
      <c r="G6" s="11">
        <v>46098.0</v>
      </c>
      <c r="H6" s="11">
        <v>46162.0</v>
      </c>
      <c r="I6" s="11">
        <v>46162.0</v>
      </c>
      <c r="J6" s="11" t="s">
        <v>50</v>
      </c>
      <c r="K6" s="11" t="s">
        <v>50</v>
      </c>
      <c r="L6" s="13" t="s">
        <v>68</v>
      </c>
      <c r="M6" s="23">
        <v>46197.0</v>
      </c>
      <c r="N6" s="11" t="s">
        <v>50</v>
      </c>
      <c r="O6" s="11" t="s">
        <v>50</v>
      </c>
      <c r="P6" s="12"/>
      <c r="Q6" s="12"/>
      <c r="R6" s="12"/>
      <c r="S6" s="12"/>
      <c r="T6" s="18"/>
      <c r="U6" s="18"/>
      <c r="V6" s="18"/>
      <c r="W6" s="18"/>
      <c r="X6" s="18"/>
    </row>
    <row r="7" ht="16.5" customHeight="1">
      <c r="A7" s="9" t="s">
        <v>69</v>
      </c>
      <c r="B7" s="9" t="s">
        <v>70</v>
      </c>
      <c r="C7" s="10" t="s">
        <v>71</v>
      </c>
      <c r="D7" s="10" t="s">
        <v>36</v>
      </c>
      <c r="E7" s="10" t="s">
        <v>37</v>
      </c>
      <c r="F7" s="23">
        <v>46203.0</v>
      </c>
      <c r="G7" s="23">
        <v>46203.0</v>
      </c>
      <c r="H7" s="12">
        <v>46249.0</v>
      </c>
      <c r="I7" s="12">
        <v>46249.0</v>
      </c>
      <c r="J7" s="12"/>
      <c r="K7" s="12"/>
      <c r="L7" s="12"/>
      <c r="M7" s="12"/>
      <c r="N7" s="12"/>
      <c r="O7" s="12"/>
      <c r="P7" s="12">
        <v>46262.0</v>
      </c>
      <c r="Q7" s="12"/>
      <c r="R7" s="12">
        <v>46263.0</v>
      </c>
      <c r="S7" s="12">
        <v>46264.0</v>
      </c>
      <c r="T7" s="18"/>
      <c r="U7" s="18"/>
      <c r="V7" s="18"/>
      <c r="W7" s="18"/>
      <c r="X7" s="18"/>
    </row>
    <row r="8" ht="16.5" customHeight="1">
      <c r="A8" s="9" t="s">
        <v>72</v>
      </c>
      <c r="B8" s="9" t="s">
        <v>73</v>
      </c>
      <c r="C8" s="24" t="s">
        <v>74</v>
      </c>
      <c r="D8" s="9" t="s">
        <v>36</v>
      </c>
      <c r="E8" s="9" t="s">
        <v>37</v>
      </c>
      <c r="F8" s="11">
        <v>46172.0</v>
      </c>
      <c r="G8" s="12" t="s">
        <v>50</v>
      </c>
      <c r="H8" s="12">
        <v>46244.0</v>
      </c>
      <c r="I8" s="12" t="s">
        <v>50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8"/>
      <c r="U8" s="18"/>
      <c r="V8" s="18"/>
      <c r="W8" s="18"/>
      <c r="X8" s="18"/>
    </row>
    <row r="9" ht="16.5" customHeight="1">
      <c r="A9" s="9" t="s">
        <v>75</v>
      </c>
      <c r="B9" s="9" t="s">
        <v>76</v>
      </c>
      <c r="C9" s="10" t="s">
        <v>77</v>
      </c>
      <c r="D9" s="10" t="s">
        <v>36</v>
      </c>
      <c r="E9" s="10" t="s">
        <v>37</v>
      </c>
      <c r="F9" s="25">
        <v>46210.0</v>
      </c>
      <c r="G9" s="23">
        <v>46220.0</v>
      </c>
      <c r="H9" s="23">
        <v>46309.0</v>
      </c>
      <c r="I9" s="23">
        <v>46309.0</v>
      </c>
      <c r="J9" s="13" t="s">
        <v>38</v>
      </c>
      <c r="K9" s="12"/>
      <c r="L9" s="13" t="s">
        <v>78</v>
      </c>
      <c r="M9" s="12"/>
      <c r="N9" s="13" t="s">
        <v>79</v>
      </c>
      <c r="O9" s="12"/>
      <c r="P9" s="12">
        <v>46262.0</v>
      </c>
      <c r="Q9" s="12"/>
      <c r="R9" s="12">
        <v>46263.0</v>
      </c>
      <c r="S9" s="12">
        <v>46264.0</v>
      </c>
      <c r="T9" s="18"/>
      <c r="U9" s="18" t="s">
        <v>80</v>
      </c>
      <c r="V9" s="18" t="s">
        <v>43</v>
      </c>
      <c r="W9" s="18" t="s">
        <v>63</v>
      </c>
      <c r="X9" s="18"/>
    </row>
    <row r="10" ht="16.5" customHeight="1">
      <c r="A10" s="18"/>
      <c r="B10" s="18"/>
      <c r="C10" s="18"/>
      <c r="D10" s="18"/>
      <c r="E10" s="18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8"/>
      <c r="U10" s="18"/>
      <c r="V10" s="18"/>
      <c r="W10" s="18"/>
      <c r="X10" s="18"/>
    </row>
    <row r="11" ht="16.5" customHeight="1">
      <c r="A11" s="18"/>
      <c r="B11" s="18"/>
      <c r="C11" s="18"/>
      <c r="D11" s="18"/>
      <c r="E11" s="18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8"/>
      <c r="U11" s="18"/>
      <c r="V11" s="18"/>
      <c r="W11" s="18"/>
      <c r="X11" s="18"/>
    </row>
    <row r="12" ht="220.5" customHeight="1">
      <c r="A12" s="26" t="s">
        <v>81</v>
      </c>
      <c r="B12" s="3"/>
      <c r="C12" s="3"/>
      <c r="D12" s="3"/>
      <c r="E12" s="3" t="s">
        <v>82</v>
      </c>
      <c r="F12" s="3" t="s">
        <v>83</v>
      </c>
      <c r="G12" s="3" t="s">
        <v>84</v>
      </c>
      <c r="H12" s="3" t="s">
        <v>85</v>
      </c>
      <c r="I12" s="3" t="s">
        <v>86</v>
      </c>
      <c r="J12" s="3" t="s">
        <v>87</v>
      </c>
      <c r="K12" s="3" t="s">
        <v>88</v>
      </c>
      <c r="L12" s="3" t="s">
        <v>89</v>
      </c>
      <c r="M12" s="3" t="s">
        <v>90</v>
      </c>
      <c r="N12" s="3" t="s">
        <v>91</v>
      </c>
      <c r="O12" s="3" t="s">
        <v>92</v>
      </c>
      <c r="P12" s="3" t="s">
        <v>93</v>
      </c>
      <c r="Q12" s="3" t="s">
        <v>94</v>
      </c>
      <c r="R12" s="3" t="s">
        <v>95</v>
      </c>
      <c r="S12" s="3" t="s">
        <v>96</v>
      </c>
      <c r="T12" s="1" t="s">
        <v>97</v>
      </c>
      <c r="U12" s="3" t="s">
        <v>98</v>
      </c>
      <c r="V12" s="3" t="s">
        <v>98</v>
      </c>
      <c r="W12" s="3" t="s">
        <v>98</v>
      </c>
      <c r="X12" s="1" t="s">
        <v>99</v>
      </c>
      <c r="Y12" s="3"/>
      <c r="Z12" s="3"/>
    </row>
    <row r="13" ht="16.5" customHeight="1">
      <c r="E13" s="1" t="s">
        <v>100</v>
      </c>
      <c r="F13" s="1" t="s">
        <v>101</v>
      </c>
      <c r="G13" s="1" t="s">
        <v>102</v>
      </c>
      <c r="H13" s="1" t="s">
        <v>99</v>
      </c>
      <c r="I13" s="1" t="s">
        <v>99</v>
      </c>
      <c r="J13" s="1" t="s">
        <v>99</v>
      </c>
      <c r="K13" s="1" t="s">
        <v>103</v>
      </c>
      <c r="L13" s="1" t="s">
        <v>99</v>
      </c>
      <c r="M13" s="27" t="s">
        <v>103</v>
      </c>
      <c r="N13" s="1" t="s">
        <v>99</v>
      </c>
      <c r="O13" s="1" t="s">
        <v>103</v>
      </c>
      <c r="P13" s="27" t="s">
        <v>104</v>
      </c>
      <c r="Q13" s="27" t="s">
        <v>105</v>
      </c>
      <c r="R13" s="1" t="s">
        <v>99</v>
      </c>
      <c r="S13" s="1" t="s">
        <v>106</v>
      </c>
      <c r="T13" s="1" t="s">
        <v>107</v>
      </c>
    </row>
    <row r="14" ht="16.5" customHeight="1">
      <c r="F14" s="1" t="s">
        <v>108</v>
      </c>
      <c r="G14" s="1" t="s">
        <v>108</v>
      </c>
      <c r="H14" s="1" t="s">
        <v>108</v>
      </c>
      <c r="I14" s="1" t="s">
        <v>108</v>
      </c>
      <c r="J14" s="1" t="s">
        <v>109</v>
      </c>
      <c r="K14" s="1" t="s">
        <v>108</v>
      </c>
      <c r="L14" s="1" t="s">
        <v>109</v>
      </c>
      <c r="N14" s="1" t="s">
        <v>109</v>
      </c>
      <c r="P14" s="1" t="s">
        <v>110</v>
      </c>
      <c r="Q14" s="28" t="s">
        <v>110</v>
      </c>
      <c r="T14" s="29" t="s">
        <v>111</v>
      </c>
    </row>
    <row r="15" ht="160.5" customHeight="1">
      <c r="A15" s="30" t="s">
        <v>112</v>
      </c>
      <c r="F15" s="1" t="s">
        <v>113</v>
      </c>
      <c r="J15" s="27" t="s">
        <v>114</v>
      </c>
      <c r="K15" s="1" t="s">
        <v>115</v>
      </c>
      <c r="L15" s="1" t="s">
        <v>114</v>
      </c>
      <c r="M15" s="1" t="s">
        <v>115</v>
      </c>
      <c r="N15" s="27" t="s">
        <v>114</v>
      </c>
      <c r="O15" s="1" t="s">
        <v>115</v>
      </c>
      <c r="P15" s="1" t="s">
        <v>108</v>
      </c>
    </row>
    <row r="16" ht="16.5" customHeight="1">
      <c r="F16" s="1" t="s">
        <v>116</v>
      </c>
      <c r="J16" s="1" t="s">
        <v>117</v>
      </c>
      <c r="L16" s="1" t="s">
        <v>115</v>
      </c>
      <c r="M16" s="1" t="s">
        <v>118</v>
      </c>
      <c r="N16" s="1" t="s">
        <v>115</v>
      </c>
    </row>
    <row r="17" ht="16.5" customHeight="1">
      <c r="F17" s="1" t="s">
        <v>119</v>
      </c>
      <c r="J17" s="1" t="s">
        <v>120</v>
      </c>
      <c r="L17" s="1" t="s">
        <v>108</v>
      </c>
      <c r="M17" s="1" t="s">
        <v>108</v>
      </c>
      <c r="N17" s="1" t="s">
        <v>108</v>
      </c>
      <c r="O17" s="1" t="s">
        <v>108</v>
      </c>
    </row>
    <row r="18" ht="16.5" customHeight="1">
      <c r="F18" s="1" t="s">
        <v>121</v>
      </c>
      <c r="J18" s="1" t="s">
        <v>122</v>
      </c>
    </row>
    <row r="19" ht="16.5" customHeight="1">
      <c r="F19" s="1" t="s">
        <v>123</v>
      </c>
      <c r="J19" s="1" t="s">
        <v>124</v>
      </c>
    </row>
    <row r="20" ht="16.5" customHeight="1">
      <c r="F20" s="1" t="s">
        <v>125</v>
      </c>
      <c r="J20" s="1" t="s">
        <v>126</v>
      </c>
    </row>
    <row r="21" ht="16.5" customHeight="1">
      <c r="J21" s="1" t="s">
        <v>118</v>
      </c>
    </row>
    <row r="22" ht="16.5" customHeight="1">
      <c r="J22" s="1" t="s">
        <v>108</v>
      </c>
    </row>
    <row r="23" ht="16.5" customHeight="1">
      <c r="J23" s="1" t="s">
        <v>115</v>
      </c>
    </row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5:D1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FF"/>
    <pageSetUpPr/>
  </sheetPr>
  <sheetViews>
    <sheetView showGridLines="0" workbookViewId="0"/>
  </sheetViews>
  <sheetFormatPr customHeight="1" defaultColWidth="11.22" defaultRowHeight="15.0"/>
  <cols>
    <col customWidth="1" min="1" max="1" width="8.44"/>
    <col customWidth="1" min="2" max="2" width="18.78"/>
    <col customWidth="1" min="3" max="7" width="4.22"/>
    <col customWidth="1" min="8" max="8" width="3.44"/>
    <col customWidth="1" min="9" max="9" width="45.44"/>
    <col customWidth="1" min="10" max="10" width="41.56"/>
    <col customWidth="1" min="11" max="26" width="6.78"/>
  </cols>
  <sheetData>
    <row r="1" ht="16.5" customHeight="1">
      <c r="A1" s="31" t="s">
        <v>127</v>
      </c>
      <c r="B1" s="31" t="s">
        <v>128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21.0" customHeight="1">
      <c r="A2" s="32" t="s">
        <v>129</v>
      </c>
      <c r="B2" s="33" t="s">
        <v>130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21.0" customHeight="1">
      <c r="A3" s="34" t="s">
        <v>131</v>
      </c>
      <c r="B3" s="35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1.0" customHeight="1">
      <c r="A4" s="34" t="s">
        <v>132</v>
      </c>
      <c r="B4" s="35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21.0" customHeight="1">
      <c r="A5" s="36" t="s">
        <v>133</v>
      </c>
      <c r="B5" s="37"/>
      <c r="C5" s="38" t="s">
        <v>134</v>
      </c>
      <c r="D5" s="31"/>
      <c r="E5" s="31"/>
      <c r="F5" s="31"/>
      <c r="G5" s="31"/>
      <c r="H5" s="31"/>
      <c r="I5" s="18" t="s">
        <v>135</v>
      </c>
      <c r="J5" s="18" t="s">
        <v>136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21.0" customHeight="1">
      <c r="A6" s="39" t="s">
        <v>137</v>
      </c>
      <c r="B6" s="40">
        <v>46212.0</v>
      </c>
      <c r="C6" s="31"/>
      <c r="D6" s="31"/>
      <c r="E6" s="31"/>
      <c r="F6" s="31"/>
      <c r="G6" s="31"/>
      <c r="H6" s="31"/>
      <c r="I6" s="41" t="s">
        <v>138</v>
      </c>
      <c r="J6" s="41" t="s">
        <v>139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21.0" customHeight="1">
      <c r="A7" s="42" t="s">
        <v>140</v>
      </c>
      <c r="B7" s="43">
        <v>0.7083333333333334</v>
      </c>
      <c r="C7" s="31"/>
      <c r="D7" s="31"/>
      <c r="E7" s="31"/>
      <c r="F7" s="31"/>
      <c r="G7" s="31"/>
      <c r="H7" s="31"/>
      <c r="I7" s="18" t="s">
        <v>141</v>
      </c>
      <c r="J7" s="18" t="s">
        <v>142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21.0" customHeight="1">
      <c r="A8" s="42" t="s">
        <v>143</v>
      </c>
      <c r="B8" s="44" t="s">
        <v>144</v>
      </c>
      <c r="C8" s="31"/>
      <c r="D8" s="31"/>
      <c r="E8" s="31"/>
      <c r="F8" s="31"/>
      <c r="G8" s="31"/>
      <c r="H8" s="31"/>
      <c r="I8" s="18" t="s">
        <v>145</v>
      </c>
      <c r="J8" s="41" t="s">
        <v>146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21.0" customHeight="1">
      <c r="A9" s="45" t="s">
        <v>147</v>
      </c>
      <c r="B9" s="46" t="s">
        <v>135</v>
      </c>
      <c r="C9" s="31"/>
      <c r="D9" s="31"/>
      <c r="E9" s="31"/>
      <c r="F9" s="31"/>
      <c r="G9" s="31"/>
      <c r="H9" s="31"/>
      <c r="I9" s="18" t="s">
        <v>141</v>
      </c>
      <c r="J9" s="41" t="s">
        <v>148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21.0" customHeight="1">
      <c r="A10" s="39" t="s">
        <v>149</v>
      </c>
      <c r="B10" s="47">
        <v>46213.0</v>
      </c>
      <c r="C10" s="31"/>
      <c r="D10" s="31"/>
      <c r="E10" s="31"/>
      <c r="F10" s="31"/>
      <c r="G10" s="31"/>
      <c r="H10" s="31"/>
      <c r="I10" s="18" t="s">
        <v>150</v>
      </c>
      <c r="J10" s="41" t="s">
        <v>151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21.0" customHeight="1">
      <c r="A11" s="42" t="s">
        <v>152</v>
      </c>
      <c r="B11" s="48">
        <v>0.4375</v>
      </c>
      <c r="C11" s="31"/>
      <c r="D11" s="31"/>
      <c r="E11" s="31"/>
      <c r="F11" s="31"/>
      <c r="G11" s="31"/>
      <c r="H11" s="31"/>
      <c r="I11" s="49" t="s">
        <v>153</v>
      </c>
      <c r="J11" s="41" t="s">
        <v>154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6.5" customHeight="1">
      <c r="A12" s="42" t="s">
        <v>155</v>
      </c>
      <c r="B12" s="50" t="s">
        <v>156</v>
      </c>
      <c r="C12" s="31"/>
      <c r="D12" s="31"/>
      <c r="E12" s="31"/>
      <c r="F12" s="31"/>
      <c r="G12" s="31"/>
      <c r="H12" s="31"/>
      <c r="I12" s="18" t="s">
        <v>157</v>
      </c>
      <c r="J12" s="41" t="s">
        <v>158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36.0" customHeight="1">
      <c r="A13" s="45" t="s">
        <v>159</v>
      </c>
      <c r="B13" s="50" t="s">
        <v>160</v>
      </c>
      <c r="C13" s="31"/>
      <c r="D13" s="31"/>
      <c r="E13" s="31"/>
      <c r="F13" s="31"/>
      <c r="G13" s="31"/>
      <c r="H13" s="31"/>
      <c r="I13" s="18" t="s">
        <v>161</v>
      </c>
      <c r="J13" s="41" t="s">
        <v>162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21.0" customHeight="1">
      <c r="A14" s="39" t="s">
        <v>163</v>
      </c>
      <c r="B14" s="51" t="s">
        <v>164</v>
      </c>
      <c r="C14" s="31"/>
      <c r="D14" s="31"/>
      <c r="E14" s="31"/>
      <c r="F14" s="31"/>
      <c r="G14" s="31"/>
      <c r="H14" s="31"/>
      <c r="I14" s="52" t="s">
        <v>165</v>
      </c>
      <c r="J14" s="41" t="s">
        <v>166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21.0" customHeight="1">
      <c r="A15" s="45" t="s">
        <v>167</v>
      </c>
      <c r="B15" s="53" t="s">
        <v>168</v>
      </c>
      <c r="C15" s="31"/>
      <c r="D15" s="31"/>
      <c r="E15" s="31"/>
      <c r="F15" s="31"/>
      <c r="G15" s="31"/>
      <c r="H15" s="31"/>
      <c r="I15" s="18" t="s">
        <v>169</v>
      </c>
      <c r="J15" s="41" t="s">
        <v>170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21.0" customHeight="1">
      <c r="A16" s="39" t="s">
        <v>171</v>
      </c>
      <c r="B16" s="51" t="s">
        <v>172</v>
      </c>
      <c r="C16" s="31"/>
      <c r="D16" s="31"/>
      <c r="E16" s="31"/>
      <c r="F16" s="31"/>
      <c r="G16" s="31"/>
      <c r="H16" s="31"/>
      <c r="I16" s="18" t="s">
        <v>173</v>
      </c>
      <c r="J16" s="41" t="s">
        <v>174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21.0" customHeight="1">
      <c r="A17" s="45" t="s">
        <v>175</v>
      </c>
      <c r="B17" s="54" t="s">
        <v>176</v>
      </c>
      <c r="C17" s="31"/>
      <c r="D17" s="31"/>
      <c r="E17" s="31"/>
      <c r="F17" s="31"/>
      <c r="G17" s="31"/>
      <c r="H17" s="31"/>
      <c r="I17" s="18" t="s">
        <v>177</v>
      </c>
      <c r="J17" s="41" t="s">
        <v>178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21.0" customHeight="1">
      <c r="A18" s="39" t="s">
        <v>179</v>
      </c>
      <c r="B18" s="51" t="s">
        <v>164</v>
      </c>
      <c r="C18" s="31"/>
      <c r="D18" s="31"/>
      <c r="E18" s="31"/>
      <c r="F18" s="31"/>
      <c r="G18" s="31"/>
      <c r="H18" s="31"/>
      <c r="I18" s="18" t="s">
        <v>180</v>
      </c>
      <c r="J18" s="41" t="s">
        <v>181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21.0" customHeight="1">
      <c r="A19" s="45" t="s">
        <v>182</v>
      </c>
      <c r="B19" s="55" t="s">
        <v>168</v>
      </c>
      <c r="C19" s="31"/>
      <c r="D19" s="31"/>
      <c r="E19" s="31"/>
      <c r="F19" s="31"/>
      <c r="G19" s="31"/>
      <c r="H19" s="31"/>
      <c r="I19" s="18" t="s">
        <v>183</v>
      </c>
      <c r="J19" s="41" t="s">
        <v>184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21.0" customHeight="1">
      <c r="A20" s="56" t="s">
        <v>185</v>
      </c>
      <c r="B20" s="57" t="s">
        <v>186</v>
      </c>
      <c r="C20" s="31"/>
      <c r="D20" s="31"/>
      <c r="E20" s="31"/>
      <c r="F20" s="31"/>
      <c r="G20" s="31"/>
      <c r="H20" s="31"/>
      <c r="I20" s="18" t="s">
        <v>187</v>
      </c>
      <c r="J20" s="41" t="s">
        <v>188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21.0" customHeight="1">
      <c r="A21" s="58" t="s">
        <v>189</v>
      </c>
      <c r="B21" s="59"/>
      <c r="C21" s="60" t="s">
        <v>190</v>
      </c>
      <c r="D21" s="61" t="s">
        <v>191</v>
      </c>
      <c r="E21" s="60" t="s">
        <v>192</v>
      </c>
      <c r="F21" s="61" t="s">
        <v>193</v>
      </c>
      <c r="G21" s="60" t="s">
        <v>194</v>
      </c>
      <c r="H21" s="61" t="s">
        <v>195</v>
      </c>
      <c r="I21" s="18" t="s">
        <v>196</v>
      </c>
      <c r="J21" s="18" t="s">
        <v>197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1.25" customHeight="1">
      <c r="A22" s="62"/>
      <c r="B22" s="63"/>
      <c r="C22" s="64" t="s">
        <v>198</v>
      </c>
      <c r="D22" s="65" t="s">
        <v>198</v>
      </c>
      <c r="E22" s="64" t="s">
        <v>198</v>
      </c>
      <c r="F22" s="65" t="s">
        <v>199</v>
      </c>
      <c r="G22" s="64" t="s">
        <v>200</v>
      </c>
      <c r="H22" s="65" t="s">
        <v>201</v>
      </c>
      <c r="I22" s="18" t="s">
        <v>202</v>
      </c>
      <c r="J22" s="41" t="s">
        <v>181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21.0" customHeight="1">
      <c r="A23" s="66" t="s">
        <v>203</v>
      </c>
      <c r="B23" s="67" t="s">
        <v>204</v>
      </c>
      <c r="C23" s="68">
        <v>2500.0</v>
      </c>
      <c r="D23" s="68">
        <v>120.0</v>
      </c>
      <c r="E23" s="68">
        <v>2300.0</v>
      </c>
      <c r="F23" s="68">
        <v>1.0</v>
      </c>
      <c r="G23" s="69">
        <v>1.8</v>
      </c>
      <c r="H23" s="70">
        <v>1.0</v>
      </c>
      <c r="I23" s="18" t="s">
        <v>205</v>
      </c>
      <c r="J23" s="41" t="s">
        <v>206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21.0" customHeight="1">
      <c r="A24" s="31"/>
      <c r="B24" s="67"/>
      <c r="C24" s="68"/>
      <c r="D24" s="68"/>
      <c r="E24" s="68"/>
      <c r="F24" s="68"/>
      <c r="G24" s="69"/>
      <c r="H24" s="70"/>
      <c r="I24" s="18" t="s">
        <v>207</v>
      </c>
      <c r="J24" s="41" t="s">
        <v>208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21.0" customHeight="1">
      <c r="A25" s="31"/>
      <c r="B25" s="67"/>
      <c r="C25" s="68"/>
      <c r="D25" s="68"/>
      <c r="E25" s="68"/>
      <c r="F25" s="68"/>
      <c r="G25" s="69"/>
      <c r="H25" s="70" t="str">
        <f t="shared" ref="H25:H40" si="1">IF($B25=0," ",$H24+1)</f>
        <v> </v>
      </c>
      <c r="I25" s="18" t="s">
        <v>177</v>
      </c>
      <c r="J25" s="41" t="s">
        <v>209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21.0" customHeight="1">
      <c r="A26" s="31"/>
      <c r="B26" s="67"/>
      <c r="C26" s="68"/>
      <c r="D26" s="68"/>
      <c r="E26" s="68"/>
      <c r="F26" s="68"/>
      <c r="G26" s="69"/>
      <c r="H26" s="70" t="str">
        <f t="shared" si="1"/>
        <v> </v>
      </c>
      <c r="I26" s="18" t="s">
        <v>210</v>
      </c>
      <c r="J26" s="41" t="s">
        <v>211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21.0" customHeight="1">
      <c r="A27" s="31"/>
      <c r="B27" s="67"/>
      <c r="C27" s="68"/>
      <c r="D27" s="68"/>
      <c r="E27" s="68"/>
      <c r="F27" s="68"/>
      <c r="G27" s="69"/>
      <c r="H27" s="70" t="str">
        <f t="shared" si="1"/>
        <v> </v>
      </c>
      <c r="I27" s="18" t="s">
        <v>212</v>
      </c>
      <c r="J27" s="41" t="s">
        <v>213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21.0" customHeight="1">
      <c r="A28" s="31"/>
      <c r="B28" s="67"/>
      <c r="C28" s="68"/>
      <c r="D28" s="68"/>
      <c r="E28" s="68"/>
      <c r="F28" s="68"/>
      <c r="G28" s="69"/>
      <c r="H28" s="70" t="str">
        <f t="shared" si="1"/>
        <v> </v>
      </c>
      <c r="I28" s="18" t="s">
        <v>214</v>
      </c>
      <c r="J28" s="41" t="s">
        <v>215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21.0" customHeight="1">
      <c r="A29" s="31"/>
      <c r="B29" s="67"/>
      <c r="C29" s="68"/>
      <c r="D29" s="68"/>
      <c r="E29" s="68"/>
      <c r="F29" s="68"/>
      <c r="G29" s="69"/>
      <c r="H29" s="70" t="str">
        <f t="shared" si="1"/>
        <v> </v>
      </c>
      <c r="I29" s="18" t="s">
        <v>216</v>
      </c>
      <c r="J29" s="41" t="s">
        <v>217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21.0" customHeight="1">
      <c r="A30" s="31"/>
      <c r="B30" s="67"/>
      <c r="C30" s="68"/>
      <c r="D30" s="68"/>
      <c r="E30" s="68"/>
      <c r="F30" s="68"/>
      <c r="G30" s="69"/>
      <c r="H30" s="70" t="str">
        <f t="shared" si="1"/>
        <v> </v>
      </c>
      <c r="I30" s="18" t="s">
        <v>218</v>
      </c>
      <c r="J30" s="41" t="s">
        <v>217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21.0" customHeight="1">
      <c r="A31" s="31"/>
      <c r="B31" s="67"/>
      <c r="C31" s="68"/>
      <c r="D31" s="68"/>
      <c r="E31" s="68"/>
      <c r="F31" s="68"/>
      <c r="G31" s="69"/>
      <c r="H31" s="70" t="str">
        <f t="shared" si="1"/>
        <v> </v>
      </c>
      <c r="I31" s="18" t="s">
        <v>219</v>
      </c>
      <c r="J31" s="41" t="s">
        <v>220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21.0" customHeight="1">
      <c r="A32" s="31"/>
      <c r="B32" s="67"/>
      <c r="C32" s="68"/>
      <c r="D32" s="68"/>
      <c r="E32" s="68"/>
      <c r="F32" s="68"/>
      <c r="G32" s="69"/>
      <c r="H32" s="70" t="str">
        <f t="shared" si="1"/>
        <v> </v>
      </c>
      <c r="I32" s="18" t="s">
        <v>221</v>
      </c>
      <c r="J32" s="41" t="s">
        <v>220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21.0" customHeight="1">
      <c r="A33" s="31"/>
      <c r="B33" s="67"/>
      <c r="C33" s="68"/>
      <c r="D33" s="68"/>
      <c r="E33" s="68"/>
      <c r="F33" s="68"/>
      <c r="G33" s="69"/>
      <c r="H33" s="70" t="str">
        <f t="shared" si="1"/>
        <v> </v>
      </c>
      <c r="I33" s="18" t="s">
        <v>222</v>
      </c>
      <c r="J33" s="41" t="s">
        <v>223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21.0" customHeight="1">
      <c r="A34" s="31"/>
      <c r="B34" s="67"/>
      <c r="C34" s="68"/>
      <c r="D34" s="68"/>
      <c r="E34" s="68"/>
      <c r="F34" s="68"/>
      <c r="G34" s="69"/>
      <c r="H34" s="70" t="str">
        <f t="shared" si="1"/>
        <v> </v>
      </c>
      <c r="I34" s="18" t="s">
        <v>224</v>
      </c>
      <c r="J34" s="41" t="s">
        <v>225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21.0" customHeight="1">
      <c r="A35" s="31"/>
      <c r="B35" s="67"/>
      <c r="C35" s="68"/>
      <c r="D35" s="68"/>
      <c r="E35" s="68"/>
      <c r="F35" s="68"/>
      <c r="G35" s="69"/>
      <c r="H35" s="70" t="str">
        <f t="shared" si="1"/>
        <v> </v>
      </c>
      <c r="I35" s="18" t="s">
        <v>226</v>
      </c>
      <c r="J35" s="41" t="s">
        <v>227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21.0" customHeight="1">
      <c r="A36" s="31"/>
      <c r="B36" s="67"/>
      <c r="C36" s="68"/>
      <c r="D36" s="68"/>
      <c r="E36" s="68"/>
      <c r="F36" s="68"/>
      <c r="G36" s="69"/>
      <c r="H36" s="70" t="str">
        <f t="shared" si="1"/>
        <v> </v>
      </c>
      <c r="I36" s="18" t="s">
        <v>228</v>
      </c>
      <c r="J36" s="41" t="s">
        <v>229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21.0" customHeight="1">
      <c r="A37" s="31"/>
      <c r="B37" s="71"/>
      <c r="C37" s="68"/>
      <c r="D37" s="68"/>
      <c r="E37" s="68"/>
      <c r="F37" s="68"/>
      <c r="G37" s="69"/>
      <c r="H37" s="70" t="str">
        <f t="shared" si="1"/>
        <v> </v>
      </c>
      <c r="I37" s="18" t="s">
        <v>230</v>
      </c>
      <c r="J37" s="41" t="s">
        <v>225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21.0" customHeight="1">
      <c r="A38" s="31"/>
      <c r="B38" s="71"/>
      <c r="C38" s="68"/>
      <c r="D38" s="68"/>
      <c r="E38" s="68"/>
      <c r="F38" s="68"/>
      <c r="G38" s="69"/>
      <c r="H38" s="70" t="str">
        <f t="shared" si="1"/>
        <v> </v>
      </c>
      <c r="I38" s="18" t="s">
        <v>231</v>
      </c>
      <c r="J38" s="18" t="s">
        <v>232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21.0" customHeight="1">
      <c r="A39" s="31"/>
      <c r="B39" s="71"/>
      <c r="C39" s="68"/>
      <c r="D39" s="68"/>
      <c r="E39" s="68"/>
      <c r="F39" s="68"/>
      <c r="G39" s="69"/>
      <c r="H39" s="70" t="str">
        <f t="shared" si="1"/>
        <v> </v>
      </c>
      <c r="I39" s="18" t="s">
        <v>233</v>
      </c>
      <c r="J39" s="18" t="s">
        <v>234</v>
      </c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6.5" customHeight="1">
      <c r="A40" s="31"/>
      <c r="B40" s="71"/>
      <c r="C40" s="68"/>
      <c r="D40" s="68"/>
      <c r="E40" s="68"/>
      <c r="F40" s="68"/>
      <c r="G40" s="69"/>
      <c r="H40" s="70" t="str">
        <f t="shared" si="1"/>
        <v> </v>
      </c>
      <c r="I40" s="18" t="s">
        <v>235</v>
      </c>
      <c r="J40" s="18" t="s">
        <v>236</v>
      </c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6.5" customHeight="1">
      <c r="A41" s="31"/>
      <c r="B41" s="72"/>
      <c r="C41" s="31"/>
      <c r="D41" s="31"/>
      <c r="E41" s="31"/>
      <c r="F41" s="31"/>
      <c r="G41" s="31"/>
      <c r="H41" s="31"/>
      <c r="I41" s="18" t="s">
        <v>237</v>
      </c>
      <c r="J41" s="18" t="s">
        <v>238</v>
      </c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6.5" customHeight="1">
      <c r="A42" s="31"/>
      <c r="B42" s="72"/>
      <c r="C42" s="31"/>
      <c r="D42" s="31"/>
      <c r="E42" s="31"/>
      <c r="F42" s="31"/>
      <c r="G42" s="31"/>
      <c r="H42" s="31"/>
      <c r="I42" s="18" t="s">
        <v>239</v>
      </c>
      <c r="J42" s="41" t="s">
        <v>240</v>
      </c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6.5" customHeight="1">
      <c r="A43" s="31"/>
      <c r="B43" s="72"/>
      <c r="C43" s="31"/>
      <c r="D43" s="31"/>
      <c r="E43" s="31"/>
      <c r="F43" s="31"/>
      <c r="G43" s="31"/>
      <c r="H43" s="31"/>
      <c r="I43" s="18" t="s">
        <v>241</v>
      </c>
      <c r="J43" s="41" t="s">
        <v>242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6.5" customHeight="1">
      <c r="A44" s="31"/>
      <c r="B44" s="72"/>
      <c r="C44" s="31"/>
      <c r="D44" s="31"/>
      <c r="E44" s="31"/>
      <c r="F44" s="31"/>
      <c r="G44" s="31"/>
      <c r="H44" s="31"/>
      <c r="I44" s="18" t="s">
        <v>243</v>
      </c>
      <c r="J44" s="41" t="s">
        <v>244</v>
      </c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6.5" customHeight="1">
      <c r="A45" s="31"/>
      <c r="B45" s="72"/>
      <c r="C45" s="31"/>
      <c r="D45" s="31"/>
      <c r="E45" s="31"/>
      <c r="F45" s="31"/>
      <c r="G45" s="31"/>
      <c r="H45" s="31"/>
      <c r="I45" s="18" t="s">
        <v>245</v>
      </c>
      <c r="J45" s="41" t="s">
        <v>246</v>
      </c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6.5" customHeight="1">
      <c r="A46" s="31"/>
      <c r="B46" s="72"/>
      <c r="C46" s="31"/>
      <c r="D46" s="31"/>
      <c r="E46" s="31"/>
      <c r="F46" s="31"/>
      <c r="G46" s="31"/>
      <c r="H46" s="31"/>
      <c r="I46" s="18" t="s">
        <v>247</v>
      </c>
      <c r="J46" s="41" t="s">
        <v>248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6.5" customHeight="1">
      <c r="A47" s="31"/>
      <c r="B47" s="72"/>
      <c r="C47" s="31"/>
      <c r="D47" s="31"/>
      <c r="E47" s="31"/>
      <c r="F47" s="31"/>
      <c r="G47" s="31"/>
      <c r="H47" s="31"/>
      <c r="I47" s="18" t="s">
        <v>247</v>
      </c>
      <c r="J47" s="18" t="s">
        <v>248</v>
      </c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6.5" customHeight="1">
      <c r="A48" s="31"/>
      <c r="B48" s="72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6.5" customHeight="1">
      <c r="A49" s="31"/>
      <c r="B49" s="72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6.5" customHeight="1">
      <c r="A50" s="31"/>
      <c r="B50" s="72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6.5" customHeight="1">
      <c r="A51" s="31"/>
      <c r="B51" s="72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6.5" customHeight="1">
      <c r="A52" s="31"/>
      <c r="B52" s="72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6.5" customHeight="1">
      <c r="A53" s="31"/>
      <c r="B53" s="72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6.5" customHeight="1">
      <c r="A54" s="31"/>
      <c r="B54" s="72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6.5" customHeight="1">
      <c r="A55" s="31"/>
      <c r="B55" s="72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6.5" customHeight="1">
      <c r="A56" s="31"/>
      <c r="B56" s="72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6.5" customHeight="1">
      <c r="A57" s="31"/>
      <c r="B57" s="72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6.5" customHeight="1">
      <c r="A58" s="31"/>
      <c r="B58" s="72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6.5" customHeight="1">
      <c r="A59" s="31"/>
      <c r="B59" s="72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6.5" customHeight="1">
      <c r="A60" s="31"/>
      <c r="B60" s="72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6.5" customHeight="1">
      <c r="A61" s="31"/>
      <c r="B61" s="72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6.5" customHeight="1">
      <c r="A62" s="31"/>
      <c r="B62" s="72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6.5" customHeight="1">
      <c r="A63" s="31"/>
      <c r="B63" s="72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6.5" customHeight="1">
      <c r="A64" s="31"/>
      <c r="B64" s="72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6.5" customHeight="1">
      <c r="A65" s="31"/>
      <c r="B65" s="72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6.5" customHeight="1">
      <c r="A66" s="31"/>
      <c r="B66" s="72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6.5" customHeight="1">
      <c r="A67" s="31"/>
      <c r="B67" s="72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6.5" customHeight="1">
      <c r="A68" s="31"/>
      <c r="B68" s="72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6.5" customHeight="1">
      <c r="A69" s="31"/>
      <c r="B69" s="72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6.5" customHeight="1">
      <c r="A70" s="31"/>
      <c r="B70" s="72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6.5" customHeight="1">
      <c r="A71" s="31"/>
      <c r="B71" s="72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6.5" customHeight="1">
      <c r="A72" s="31"/>
      <c r="B72" s="72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6.5" customHeight="1">
      <c r="A73" s="31"/>
      <c r="B73" s="72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6.5" customHeight="1">
      <c r="A74" s="31"/>
      <c r="B74" s="72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6.5" customHeight="1">
      <c r="A75" s="31"/>
      <c r="B75" s="72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6.5" customHeight="1">
      <c r="A76" s="31"/>
      <c r="B76" s="72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6.5" customHeight="1">
      <c r="A77" s="31"/>
      <c r="B77" s="72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6.5" customHeight="1">
      <c r="A78" s="31"/>
      <c r="B78" s="72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6.5" customHeight="1">
      <c r="A79" s="31"/>
      <c r="B79" s="72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6.5" customHeight="1">
      <c r="A80" s="31"/>
      <c r="B80" s="72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6.5" customHeight="1">
      <c r="A81" s="31"/>
      <c r="B81" s="72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6.5" customHeight="1">
      <c r="A82" s="31"/>
      <c r="B82" s="72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6.5" customHeight="1">
      <c r="A83" s="31"/>
      <c r="B83" s="72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6.5" customHeight="1">
      <c r="A84" s="31"/>
      <c r="B84" s="72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6.5" customHeight="1">
      <c r="A85" s="31"/>
      <c r="B85" s="72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6.5" customHeight="1">
      <c r="A86" s="31"/>
      <c r="B86" s="72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6.5" customHeight="1">
      <c r="A87" s="31"/>
      <c r="B87" s="72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6.5" customHeight="1">
      <c r="A88" s="31"/>
      <c r="B88" s="72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6.5" customHeight="1">
      <c r="A89" s="31"/>
      <c r="B89" s="72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6.5" customHeight="1">
      <c r="A90" s="31"/>
      <c r="B90" s="72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6.5" customHeight="1">
      <c r="A91" s="31"/>
      <c r="B91" s="72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6.5" customHeight="1">
      <c r="A92" s="31"/>
      <c r="B92" s="72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6.5" customHeight="1">
      <c r="A93" s="31"/>
      <c r="B93" s="72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6.5" customHeight="1">
      <c r="A94" s="31"/>
      <c r="B94" s="72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6.5" customHeight="1">
      <c r="A95" s="31"/>
      <c r="B95" s="72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6.5" customHeight="1">
      <c r="A96" s="31"/>
      <c r="B96" s="72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6.5" customHeight="1">
      <c r="A97" s="31"/>
      <c r="B97" s="72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6.5" customHeight="1">
      <c r="A98" s="31"/>
      <c r="B98" s="72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6.5" customHeight="1">
      <c r="A99" s="31"/>
      <c r="B99" s="72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6.5" customHeight="1">
      <c r="A100" s="31"/>
      <c r="B100" s="72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6.5" customHeight="1">
      <c r="A101" s="31"/>
      <c r="B101" s="72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6.5" customHeight="1">
      <c r="A102" s="31"/>
      <c r="B102" s="72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6.5" customHeight="1">
      <c r="A103" s="31"/>
      <c r="B103" s="7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6.5" customHeight="1">
      <c r="A104" s="31"/>
      <c r="B104" s="72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6.5" customHeight="1">
      <c r="A105" s="31"/>
      <c r="B105" s="72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6.5" customHeight="1">
      <c r="A106" s="31"/>
      <c r="B106" s="72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6.5" customHeight="1">
      <c r="A107" s="31"/>
      <c r="B107" s="72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6.5" customHeight="1">
      <c r="A108" s="31"/>
      <c r="B108" s="72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6.5" customHeight="1">
      <c r="A109" s="31"/>
      <c r="B109" s="72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6.5" customHeight="1">
      <c r="A110" s="31"/>
      <c r="B110" s="72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6.5" customHeight="1">
      <c r="A111" s="31"/>
      <c r="B111" s="72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6.5" customHeight="1">
      <c r="A112" s="31"/>
      <c r="B112" s="72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6.5" customHeight="1">
      <c r="A113" s="31"/>
      <c r="B113" s="72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6.5" customHeight="1">
      <c r="A114" s="31"/>
      <c r="B114" s="72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6.5" customHeight="1">
      <c r="A115" s="31"/>
      <c r="B115" s="72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6.5" customHeight="1">
      <c r="A116" s="31"/>
      <c r="B116" s="72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6.5" customHeight="1">
      <c r="A117" s="31"/>
      <c r="B117" s="7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6.5" customHeight="1">
      <c r="A118" s="31"/>
      <c r="B118" s="72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6.5" customHeight="1">
      <c r="A119" s="31"/>
      <c r="B119" s="72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6.5" customHeight="1">
      <c r="A120" s="31"/>
      <c r="B120" s="72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6.5" customHeight="1">
      <c r="A121" s="31"/>
      <c r="B121" s="72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6.5" customHeight="1">
      <c r="A122" s="31"/>
      <c r="B122" s="72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6.5" customHeight="1">
      <c r="A123" s="31"/>
      <c r="B123" s="72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6.5" customHeight="1">
      <c r="A124" s="31"/>
      <c r="B124" s="72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6.5" customHeight="1">
      <c r="A125" s="31"/>
      <c r="B125" s="72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6.5" customHeight="1">
      <c r="A126" s="31"/>
      <c r="B126" s="72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6.5" customHeight="1">
      <c r="A127" s="31"/>
      <c r="B127" s="72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6.5" customHeight="1">
      <c r="A128" s="31"/>
      <c r="B128" s="72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6.5" customHeight="1">
      <c r="A129" s="31"/>
      <c r="B129" s="72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6.5" customHeight="1">
      <c r="A130" s="31"/>
      <c r="B130" s="72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6.5" customHeight="1">
      <c r="A131" s="31"/>
      <c r="B131" s="72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6.5" customHeight="1">
      <c r="A132" s="31"/>
      <c r="B132" s="72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6.5" customHeight="1">
      <c r="A133" s="31"/>
      <c r="B133" s="72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6.5" customHeight="1">
      <c r="A134" s="31"/>
      <c r="B134" s="72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6.5" customHeight="1">
      <c r="A135" s="31"/>
      <c r="B135" s="72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6.5" customHeight="1">
      <c r="A136" s="31"/>
      <c r="B136" s="72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6.5" customHeight="1">
      <c r="A137" s="31"/>
      <c r="B137" s="72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6.5" customHeight="1">
      <c r="A138" s="31"/>
      <c r="B138" s="72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6.5" customHeight="1">
      <c r="A139" s="31"/>
      <c r="B139" s="72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6.5" customHeight="1">
      <c r="A140" s="31"/>
      <c r="B140" s="72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6.5" customHeight="1">
      <c r="A141" s="31"/>
      <c r="B141" s="72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6.5" customHeight="1">
      <c r="A142" s="31"/>
      <c r="B142" s="72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6.5" customHeight="1">
      <c r="A143" s="31"/>
      <c r="B143" s="72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6.5" customHeight="1">
      <c r="A144" s="31"/>
      <c r="B144" s="72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6.5" customHeight="1">
      <c r="A145" s="31"/>
      <c r="B145" s="72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6.5" customHeight="1">
      <c r="A146" s="31"/>
      <c r="B146" s="72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6.5" customHeight="1">
      <c r="A147" s="31"/>
      <c r="B147" s="72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6.5" customHeight="1">
      <c r="A148" s="31"/>
      <c r="B148" s="72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6.5" customHeight="1">
      <c r="A149" s="31"/>
      <c r="B149" s="72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6.5" customHeight="1">
      <c r="A150" s="31"/>
      <c r="B150" s="72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6.5" customHeight="1">
      <c r="A151" s="31"/>
      <c r="B151" s="72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6.5" customHeight="1">
      <c r="A152" s="31"/>
      <c r="B152" s="72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6.5" customHeight="1">
      <c r="A153" s="31"/>
      <c r="B153" s="72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6.5" customHeight="1">
      <c r="A154" s="31"/>
      <c r="B154" s="72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6.5" customHeight="1">
      <c r="A155" s="31"/>
      <c r="B155" s="72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6.5" customHeight="1">
      <c r="A156" s="31"/>
      <c r="B156" s="72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6.5" customHeight="1">
      <c r="A157" s="31"/>
      <c r="B157" s="72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6.5" customHeight="1">
      <c r="A158" s="31"/>
      <c r="B158" s="72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6.5" customHeight="1">
      <c r="A159" s="31"/>
      <c r="B159" s="72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6.5" customHeight="1">
      <c r="A160" s="31"/>
      <c r="B160" s="72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6.5" customHeight="1">
      <c r="A161" s="31"/>
      <c r="B161" s="72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6.5" customHeight="1">
      <c r="A162" s="31"/>
      <c r="B162" s="72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6.5" customHeight="1">
      <c r="A163" s="31"/>
      <c r="B163" s="72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6.5" customHeight="1">
      <c r="A164" s="31"/>
      <c r="B164" s="72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6.5" customHeight="1">
      <c r="A165" s="31"/>
      <c r="B165" s="72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6.5" customHeight="1">
      <c r="A166" s="31"/>
      <c r="B166" s="72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6.5" customHeight="1">
      <c r="A167" s="31"/>
      <c r="B167" s="72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6.5" customHeight="1">
      <c r="A168" s="31"/>
      <c r="B168" s="72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6.5" customHeight="1">
      <c r="A169" s="31"/>
      <c r="B169" s="72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6.5" customHeight="1">
      <c r="A170" s="31"/>
      <c r="B170" s="72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6.5" customHeight="1">
      <c r="A171" s="31"/>
      <c r="B171" s="72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6.5" customHeight="1">
      <c r="A172" s="31"/>
      <c r="B172" s="72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6.5" customHeight="1">
      <c r="A173" s="31"/>
      <c r="B173" s="72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6.5" customHeight="1">
      <c r="A174" s="31"/>
      <c r="B174" s="72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6.5" customHeight="1">
      <c r="A175" s="31"/>
      <c r="B175" s="72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6.5" customHeight="1">
      <c r="A176" s="31"/>
      <c r="B176" s="72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6.5" customHeight="1">
      <c r="A177" s="31"/>
      <c r="B177" s="72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6.5" customHeight="1">
      <c r="A178" s="31"/>
      <c r="B178" s="72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6.5" customHeight="1">
      <c r="A179" s="31"/>
      <c r="B179" s="72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6.5" customHeight="1">
      <c r="A180" s="31"/>
      <c r="B180" s="72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6.5" customHeight="1">
      <c r="A181" s="31"/>
      <c r="B181" s="72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6.5" customHeight="1">
      <c r="A182" s="31"/>
      <c r="B182" s="72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6.5" customHeight="1">
      <c r="A183" s="31"/>
      <c r="B183" s="72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6.5" customHeight="1">
      <c r="A184" s="31"/>
      <c r="B184" s="72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6.5" customHeight="1">
      <c r="A185" s="31"/>
      <c r="B185" s="72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6.5" customHeight="1">
      <c r="A186" s="31"/>
      <c r="B186" s="72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6.5" customHeight="1">
      <c r="A187" s="31"/>
      <c r="B187" s="72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6.5" customHeight="1">
      <c r="A188" s="31"/>
      <c r="B188" s="72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6.5" customHeight="1">
      <c r="A189" s="31"/>
      <c r="B189" s="72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6.5" customHeight="1">
      <c r="A190" s="31"/>
      <c r="B190" s="72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6.5" customHeight="1">
      <c r="A191" s="31"/>
      <c r="B191" s="72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6.5" customHeight="1">
      <c r="A192" s="31"/>
      <c r="B192" s="72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6.5" customHeight="1">
      <c r="A193" s="31"/>
      <c r="B193" s="72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6.5" customHeight="1">
      <c r="A194" s="31"/>
      <c r="B194" s="72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6.5" customHeight="1">
      <c r="A195" s="31"/>
      <c r="B195" s="72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6.5" customHeight="1">
      <c r="A196" s="31"/>
      <c r="B196" s="72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6.5" customHeight="1">
      <c r="A197" s="31"/>
      <c r="B197" s="72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6.5" customHeight="1">
      <c r="A198" s="31"/>
      <c r="B198" s="72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6.5" customHeight="1">
      <c r="A199" s="31"/>
      <c r="B199" s="72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6.5" customHeight="1">
      <c r="A200" s="31"/>
      <c r="B200" s="72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6.5" customHeight="1">
      <c r="A201" s="31"/>
      <c r="B201" s="72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6.5" customHeight="1">
      <c r="A202" s="31"/>
      <c r="B202" s="72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6.5" customHeight="1">
      <c r="A203" s="31"/>
      <c r="B203" s="72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6.5" customHeight="1">
      <c r="A204" s="31"/>
      <c r="B204" s="72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6.5" customHeight="1">
      <c r="A205" s="31"/>
      <c r="B205" s="72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6.5" customHeight="1">
      <c r="A206" s="31"/>
      <c r="B206" s="72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6.5" customHeight="1">
      <c r="A207" s="31"/>
      <c r="B207" s="72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6.5" customHeight="1">
      <c r="A208" s="31"/>
      <c r="B208" s="72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6.5" customHeight="1">
      <c r="A209" s="31"/>
      <c r="B209" s="72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6.5" customHeight="1">
      <c r="A210" s="31"/>
      <c r="B210" s="72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6.5" customHeight="1">
      <c r="A211" s="31"/>
      <c r="B211" s="72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6.5" customHeight="1">
      <c r="A212" s="31"/>
      <c r="B212" s="72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6.5" customHeight="1">
      <c r="A213" s="31"/>
      <c r="B213" s="72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6.5" customHeight="1">
      <c r="A214" s="31"/>
      <c r="B214" s="72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6.5" customHeight="1">
      <c r="A215" s="31"/>
      <c r="B215" s="72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6.5" customHeight="1">
      <c r="A216" s="31"/>
      <c r="B216" s="72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6.5" customHeight="1">
      <c r="A217" s="31"/>
      <c r="B217" s="72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6.5" customHeight="1">
      <c r="A218" s="31"/>
      <c r="B218" s="72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6.5" customHeight="1">
      <c r="A219" s="31"/>
      <c r="B219" s="72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6.5" customHeight="1">
      <c r="A220" s="31"/>
      <c r="B220" s="72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6.5" customHeight="1">
      <c r="A221" s="31"/>
      <c r="B221" s="72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6.5" customHeight="1">
      <c r="A222" s="31"/>
      <c r="B222" s="72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6.5" customHeight="1">
      <c r="A223" s="31"/>
      <c r="B223" s="72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6.5" customHeight="1">
      <c r="A224" s="31"/>
      <c r="B224" s="72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6.5" customHeight="1">
      <c r="A225" s="31"/>
      <c r="B225" s="72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6.5" customHeight="1">
      <c r="A226" s="31"/>
      <c r="B226" s="72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6.5" customHeight="1">
      <c r="A227" s="31"/>
      <c r="B227" s="72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6.5" customHeight="1">
      <c r="A228" s="31"/>
      <c r="B228" s="72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6.5" customHeight="1">
      <c r="A229" s="31"/>
      <c r="B229" s="72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6.5" customHeight="1">
      <c r="A230" s="31"/>
      <c r="B230" s="72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6.5" customHeight="1">
      <c r="A231" s="31"/>
      <c r="B231" s="72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6.5" customHeight="1">
      <c r="A232" s="31"/>
      <c r="B232" s="72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6.5" customHeight="1">
      <c r="A233" s="31"/>
      <c r="B233" s="72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6.5" customHeight="1">
      <c r="A234" s="31"/>
      <c r="B234" s="72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6.5" customHeight="1">
      <c r="A235" s="31"/>
      <c r="B235" s="72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6.5" customHeight="1">
      <c r="A236" s="31"/>
      <c r="B236" s="72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6.5" customHeight="1">
      <c r="A237" s="31"/>
      <c r="B237" s="72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6.5" customHeight="1">
      <c r="A238" s="31"/>
      <c r="B238" s="72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6.5" customHeight="1">
      <c r="A239" s="31"/>
      <c r="B239" s="72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6.5" customHeight="1">
      <c r="A240" s="31"/>
      <c r="B240" s="72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6.5" customHeight="1">
      <c r="A241" s="31"/>
      <c r="B241" s="72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6.5" customHeight="1">
      <c r="A242" s="31"/>
      <c r="B242" s="72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6.5" customHeight="1">
      <c r="A243" s="31"/>
      <c r="B243" s="72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6.5" customHeight="1">
      <c r="A244" s="31"/>
      <c r="B244" s="72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6.5" customHeight="1">
      <c r="A245" s="31"/>
      <c r="B245" s="72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6.5" customHeight="1">
      <c r="A246" s="31"/>
      <c r="B246" s="72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6.5" customHeight="1">
      <c r="A247" s="31"/>
      <c r="B247" s="72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6.5" customHeight="1">
      <c r="A248" s="31"/>
      <c r="B248" s="72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6.5" customHeight="1">
      <c r="A249" s="31"/>
      <c r="B249" s="72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6.5" customHeight="1">
      <c r="A250" s="31"/>
      <c r="B250" s="72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6.5" customHeight="1">
      <c r="A251" s="31"/>
      <c r="B251" s="72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6.5" customHeight="1">
      <c r="A252" s="31"/>
      <c r="B252" s="72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6.5" customHeight="1">
      <c r="A253" s="31"/>
      <c r="B253" s="72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6.5" customHeight="1">
      <c r="A254" s="31"/>
      <c r="B254" s="72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6.5" customHeight="1">
      <c r="A255" s="31"/>
      <c r="B255" s="72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6.5" customHeight="1">
      <c r="A256" s="31"/>
      <c r="B256" s="72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6.5" customHeight="1">
      <c r="A257" s="31"/>
      <c r="B257" s="72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6.5" customHeight="1">
      <c r="A258" s="31"/>
      <c r="B258" s="72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6.5" customHeight="1">
      <c r="A259" s="31"/>
      <c r="B259" s="72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6.5" customHeight="1">
      <c r="A260" s="31"/>
      <c r="B260" s="72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6.5" customHeight="1">
      <c r="A261" s="31"/>
      <c r="B261" s="72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6.5" customHeight="1">
      <c r="A262" s="31"/>
      <c r="B262" s="72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6.5" customHeight="1">
      <c r="A263" s="31"/>
      <c r="B263" s="72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6.5" customHeight="1">
      <c r="A264" s="31"/>
      <c r="B264" s="72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6.5" customHeight="1">
      <c r="A265" s="31"/>
      <c r="B265" s="72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6.5" customHeight="1">
      <c r="A266" s="31"/>
      <c r="B266" s="72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6.5" customHeight="1">
      <c r="A267" s="31"/>
      <c r="B267" s="72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6.5" customHeight="1">
      <c r="A268" s="31"/>
      <c r="B268" s="72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6.5" customHeight="1">
      <c r="A269" s="31"/>
      <c r="B269" s="72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6.5" customHeight="1">
      <c r="A270" s="31"/>
      <c r="B270" s="72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6.5" customHeight="1">
      <c r="A271" s="31"/>
      <c r="B271" s="72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6.5" customHeight="1">
      <c r="A272" s="31"/>
      <c r="B272" s="72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6.5" customHeight="1">
      <c r="A273" s="31"/>
      <c r="B273" s="72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6.5" customHeight="1">
      <c r="A274" s="31"/>
      <c r="B274" s="72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6.5" customHeight="1">
      <c r="A275" s="31"/>
      <c r="B275" s="72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6.5" customHeight="1">
      <c r="A276" s="31"/>
      <c r="B276" s="72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6.5" customHeight="1">
      <c r="A277" s="31"/>
      <c r="B277" s="72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6.5" customHeight="1">
      <c r="A278" s="31"/>
      <c r="B278" s="72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6.5" customHeight="1">
      <c r="A279" s="31"/>
      <c r="B279" s="72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6.5" customHeight="1">
      <c r="A280" s="31"/>
      <c r="B280" s="72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6.5" customHeight="1">
      <c r="A281" s="31"/>
      <c r="B281" s="72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6.5" customHeight="1">
      <c r="A282" s="31"/>
      <c r="B282" s="72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6.5" customHeight="1">
      <c r="A283" s="31"/>
      <c r="B283" s="72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6.5" customHeight="1">
      <c r="A284" s="31"/>
      <c r="B284" s="72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6.5" customHeight="1">
      <c r="A285" s="31"/>
      <c r="B285" s="72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6.5" customHeight="1">
      <c r="A286" s="31"/>
      <c r="B286" s="72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6.5" customHeight="1">
      <c r="A287" s="31"/>
      <c r="B287" s="72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6.5" customHeight="1">
      <c r="A288" s="31"/>
      <c r="B288" s="72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6.5" customHeight="1">
      <c r="A289" s="31"/>
      <c r="B289" s="72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6.5" customHeight="1">
      <c r="A290" s="31"/>
      <c r="B290" s="72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6.5" customHeight="1">
      <c r="A291" s="31"/>
      <c r="B291" s="72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6.5" customHeight="1">
      <c r="A292" s="31"/>
      <c r="B292" s="72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6.5" customHeight="1">
      <c r="A293" s="31"/>
      <c r="B293" s="72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6.5" customHeight="1">
      <c r="A294" s="31"/>
      <c r="B294" s="72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6.5" customHeight="1">
      <c r="A295" s="31"/>
      <c r="B295" s="72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6.5" customHeight="1">
      <c r="A296" s="31"/>
      <c r="B296" s="72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6.5" customHeight="1">
      <c r="A297" s="31"/>
      <c r="B297" s="72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6.5" customHeight="1">
      <c r="A298" s="31"/>
      <c r="B298" s="72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6.5" customHeight="1">
      <c r="A299" s="31"/>
      <c r="B299" s="72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6.5" customHeight="1">
      <c r="A300" s="31"/>
      <c r="B300" s="72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6.5" customHeight="1">
      <c r="A301" s="31"/>
      <c r="B301" s="72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6.5" customHeight="1">
      <c r="A302" s="31"/>
      <c r="B302" s="72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6.5" customHeight="1">
      <c r="A303" s="31"/>
      <c r="B303" s="72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6.5" customHeight="1">
      <c r="A304" s="31"/>
      <c r="B304" s="72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6.5" customHeight="1">
      <c r="A305" s="31"/>
      <c r="B305" s="72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6.5" customHeight="1">
      <c r="A306" s="31"/>
      <c r="B306" s="72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6.5" customHeight="1">
      <c r="A307" s="31"/>
      <c r="B307" s="72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6.5" customHeight="1">
      <c r="A308" s="31"/>
      <c r="B308" s="72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6.5" customHeight="1">
      <c r="A309" s="31"/>
      <c r="B309" s="72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6.5" customHeight="1">
      <c r="A310" s="31"/>
      <c r="B310" s="72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6.5" customHeight="1">
      <c r="A311" s="31"/>
      <c r="B311" s="72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6.5" customHeight="1">
      <c r="A312" s="31"/>
      <c r="B312" s="72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6.5" customHeight="1">
      <c r="A313" s="31"/>
      <c r="B313" s="72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6.5" customHeight="1">
      <c r="A314" s="31"/>
      <c r="B314" s="72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6.5" customHeight="1">
      <c r="A315" s="31"/>
      <c r="B315" s="72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6.5" customHeight="1">
      <c r="A316" s="31"/>
      <c r="B316" s="72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6.5" customHeight="1">
      <c r="A317" s="31"/>
      <c r="B317" s="72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6.5" customHeight="1">
      <c r="A318" s="31"/>
      <c r="B318" s="72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6.5" customHeight="1">
      <c r="A319" s="31"/>
      <c r="B319" s="72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6.5" customHeight="1">
      <c r="A320" s="31"/>
      <c r="B320" s="72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6.5" customHeight="1">
      <c r="A321" s="31"/>
      <c r="B321" s="72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6.5" customHeight="1">
      <c r="A322" s="31"/>
      <c r="B322" s="72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6.5" customHeight="1">
      <c r="A323" s="31"/>
      <c r="B323" s="72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6.5" customHeight="1">
      <c r="A324" s="31"/>
      <c r="B324" s="72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6.5" customHeight="1">
      <c r="A325" s="31"/>
      <c r="B325" s="72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6.5" customHeight="1">
      <c r="A326" s="31"/>
      <c r="B326" s="72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6.5" customHeight="1">
      <c r="A327" s="31"/>
      <c r="B327" s="72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6.5" customHeight="1">
      <c r="A328" s="31"/>
      <c r="B328" s="72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6.5" customHeight="1">
      <c r="A329" s="31"/>
      <c r="B329" s="72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6.5" customHeight="1">
      <c r="A330" s="31"/>
      <c r="B330" s="72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6.5" customHeight="1">
      <c r="A331" s="31"/>
      <c r="B331" s="72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6.5" customHeight="1">
      <c r="A332" s="31"/>
      <c r="B332" s="72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6.5" customHeight="1">
      <c r="A333" s="31"/>
      <c r="B333" s="72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6.5" customHeight="1">
      <c r="A334" s="31"/>
      <c r="B334" s="72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6.5" customHeight="1">
      <c r="A335" s="31"/>
      <c r="B335" s="72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6.5" customHeight="1">
      <c r="A336" s="31"/>
      <c r="B336" s="72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6.5" customHeight="1">
      <c r="A337" s="31"/>
      <c r="B337" s="72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6.5" customHeight="1">
      <c r="A338" s="31"/>
      <c r="B338" s="72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6.5" customHeight="1">
      <c r="A339" s="31"/>
      <c r="B339" s="72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6.5" customHeight="1">
      <c r="A340" s="31"/>
      <c r="B340" s="72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6.5" customHeight="1">
      <c r="A341" s="31"/>
      <c r="B341" s="72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6.5" customHeight="1">
      <c r="A342" s="31"/>
      <c r="B342" s="72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6.5" customHeight="1">
      <c r="A343" s="31"/>
      <c r="B343" s="72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6.5" customHeight="1">
      <c r="A344" s="31"/>
      <c r="B344" s="72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6.5" customHeight="1">
      <c r="A345" s="31"/>
      <c r="B345" s="72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6.5" customHeight="1">
      <c r="A346" s="31"/>
      <c r="B346" s="72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6.5" customHeight="1">
      <c r="A347" s="31"/>
      <c r="B347" s="72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6.5" customHeight="1">
      <c r="A348" s="31"/>
      <c r="B348" s="72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6.5" customHeight="1">
      <c r="A349" s="31"/>
      <c r="B349" s="72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6.5" customHeight="1">
      <c r="A350" s="31"/>
      <c r="B350" s="72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6.5" customHeight="1">
      <c r="A351" s="31"/>
      <c r="B351" s="72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6.5" customHeight="1">
      <c r="A352" s="31"/>
      <c r="B352" s="72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6.5" customHeight="1">
      <c r="A353" s="31"/>
      <c r="B353" s="72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6.5" customHeight="1">
      <c r="A354" s="31"/>
      <c r="B354" s="72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6.5" customHeight="1">
      <c r="A355" s="31"/>
      <c r="B355" s="72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6.5" customHeight="1">
      <c r="A356" s="31"/>
      <c r="B356" s="72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6.5" customHeight="1">
      <c r="A357" s="31"/>
      <c r="B357" s="72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6.5" customHeight="1">
      <c r="A358" s="31"/>
      <c r="B358" s="72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6.5" customHeight="1">
      <c r="A359" s="31"/>
      <c r="B359" s="72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6.5" customHeight="1">
      <c r="A360" s="31"/>
      <c r="B360" s="72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6.5" customHeight="1">
      <c r="A361" s="31"/>
      <c r="B361" s="72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6.5" customHeight="1">
      <c r="A362" s="31"/>
      <c r="B362" s="72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6.5" customHeight="1">
      <c r="A363" s="31"/>
      <c r="B363" s="72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6.5" customHeight="1">
      <c r="A364" s="31"/>
      <c r="B364" s="72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6.5" customHeight="1">
      <c r="A365" s="31"/>
      <c r="B365" s="72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6.5" customHeight="1">
      <c r="A366" s="31"/>
      <c r="B366" s="72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6.5" customHeight="1">
      <c r="A367" s="31"/>
      <c r="B367" s="72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6.5" customHeight="1">
      <c r="A368" s="31"/>
      <c r="B368" s="72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6.5" customHeight="1">
      <c r="A369" s="31"/>
      <c r="B369" s="72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6.5" customHeight="1">
      <c r="A370" s="31"/>
      <c r="B370" s="72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6.5" customHeight="1">
      <c r="A371" s="31"/>
      <c r="B371" s="72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6.5" customHeight="1">
      <c r="A372" s="31"/>
      <c r="B372" s="72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6.5" customHeight="1">
      <c r="A373" s="31"/>
      <c r="B373" s="72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6.5" customHeight="1">
      <c r="A374" s="31"/>
      <c r="B374" s="72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6.5" customHeight="1">
      <c r="A375" s="31"/>
      <c r="B375" s="72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6.5" customHeight="1">
      <c r="A376" s="31"/>
      <c r="B376" s="72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6.5" customHeight="1">
      <c r="A377" s="31"/>
      <c r="B377" s="72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6.5" customHeight="1">
      <c r="A378" s="31"/>
      <c r="B378" s="72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6.5" customHeight="1">
      <c r="A379" s="31"/>
      <c r="B379" s="72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6.5" customHeight="1">
      <c r="A380" s="31"/>
      <c r="B380" s="72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6.5" customHeight="1">
      <c r="A381" s="31"/>
      <c r="B381" s="72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6.5" customHeight="1">
      <c r="A382" s="31"/>
      <c r="B382" s="72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6.5" customHeight="1">
      <c r="A383" s="31"/>
      <c r="B383" s="72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6.5" customHeight="1">
      <c r="A384" s="31"/>
      <c r="B384" s="72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6.5" customHeight="1">
      <c r="A385" s="31"/>
      <c r="B385" s="72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6.5" customHeight="1">
      <c r="A386" s="31"/>
      <c r="B386" s="72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6.5" customHeight="1">
      <c r="A387" s="31"/>
      <c r="B387" s="72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6.5" customHeight="1">
      <c r="A388" s="31"/>
      <c r="B388" s="72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6.5" customHeight="1">
      <c r="A389" s="31"/>
      <c r="B389" s="72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6.5" customHeight="1">
      <c r="A390" s="31"/>
      <c r="B390" s="72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6.5" customHeight="1">
      <c r="A391" s="31"/>
      <c r="B391" s="72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6.5" customHeight="1">
      <c r="A392" s="31"/>
      <c r="B392" s="72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6.5" customHeight="1">
      <c r="A393" s="31"/>
      <c r="B393" s="72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6.5" customHeight="1">
      <c r="A394" s="31"/>
      <c r="B394" s="72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6.5" customHeight="1">
      <c r="A395" s="31"/>
      <c r="B395" s="72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6.5" customHeight="1">
      <c r="A396" s="31"/>
      <c r="B396" s="72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6.5" customHeight="1">
      <c r="A397" s="31"/>
      <c r="B397" s="72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6.5" customHeight="1">
      <c r="A398" s="31"/>
      <c r="B398" s="72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6.5" customHeight="1">
      <c r="A399" s="31"/>
      <c r="B399" s="72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6.5" customHeight="1">
      <c r="A400" s="31"/>
      <c r="B400" s="72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6.5" customHeight="1">
      <c r="A401" s="31"/>
      <c r="B401" s="72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6.5" customHeight="1">
      <c r="A402" s="31"/>
      <c r="B402" s="72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6.5" customHeight="1">
      <c r="A403" s="31"/>
      <c r="B403" s="72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6.5" customHeight="1">
      <c r="A404" s="31"/>
      <c r="B404" s="72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6.5" customHeight="1">
      <c r="A405" s="31"/>
      <c r="B405" s="72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6.5" customHeight="1">
      <c r="A406" s="31"/>
      <c r="B406" s="72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6.5" customHeight="1">
      <c r="A407" s="31"/>
      <c r="B407" s="72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6.5" customHeight="1">
      <c r="A408" s="31"/>
      <c r="B408" s="72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6.5" customHeight="1">
      <c r="A409" s="31"/>
      <c r="B409" s="72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6.5" customHeight="1">
      <c r="A410" s="31"/>
      <c r="B410" s="72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6.5" customHeight="1">
      <c r="A411" s="31"/>
      <c r="B411" s="72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6.5" customHeight="1">
      <c r="A412" s="31"/>
      <c r="B412" s="72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6.5" customHeight="1">
      <c r="A413" s="31"/>
      <c r="B413" s="72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6.5" customHeight="1">
      <c r="A414" s="31"/>
      <c r="B414" s="72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6.5" customHeight="1">
      <c r="A415" s="31"/>
      <c r="B415" s="72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6.5" customHeight="1">
      <c r="A416" s="31"/>
      <c r="B416" s="72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6.5" customHeight="1">
      <c r="A417" s="31"/>
      <c r="B417" s="72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6.5" customHeight="1">
      <c r="A418" s="31"/>
      <c r="B418" s="72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6.5" customHeight="1">
      <c r="A419" s="31"/>
      <c r="B419" s="72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6.5" customHeight="1">
      <c r="A420" s="31"/>
      <c r="B420" s="72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6.5" customHeight="1">
      <c r="A421" s="31"/>
      <c r="B421" s="72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6.5" customHeight="1">
      <c r="A422" s="31"/>
      <c r="B422" s="72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6.5" customHeight="1">
      <c r="A423" s="31"/>
      <c r="B423" s="72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6.5" customHeight="1">
      <c r="A424" s="31"/>
      <c r="B424" s="72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6.5" customHeight="1">
      <c r="A425" s="31"/>
      <c r="B425" s="72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6.5" customHeight="1">
      <c r="A426" s="31"/>
      <c r="B426" s="72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6.5" customHeight="1">
      <c r="A427" s="31"/>
      <c r="B427" s="72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6.5" customHeight="1">
      <c r="A428" s="31"/>
      <c r="B428" s="72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6.5" customHeight="1">
      <c r="A429" s="31"/>
      <c r="B429" s="72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6.5" customHeight="1">
      <c r="A430" s="31"/>
      <c r="B430" s="72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6.5" customHeight="1">
      <c r="A431" s="31"/>
      <c r="B431" s="72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6.5" customHeight="1">
      <c r="A432" s="31"/>
      <c r="B432" s="72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6.5" customHeight="1">
      <c r="A433" s="31"/>
      <c r="B433" s="72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6.5" customHeight="1">
      <c r="A434" s="31"/>
      <c r="B434" s="72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6.5" customHeight="1">
      <c r="A435" s="31"/>
      <c r="B435" s="72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6.5" customHeight="1">
      <c r="A436" s="31"/>
      <c r="B436" s="72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6.5" customHeight="1">
      <c r="A437" s="31"/>
      <c r="B437" s="72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6.5" customHeight="1">
      <c r="A438" s="31"/>
      <c r="B438" s="72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6.5" customHeight="1">
      <c r="A439" s="31"/>
      <c r="B439" s="72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6.5" customHeight="1">
      <c r="A440" s="31"/>
      <c r="B440" s="72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6.5" customHeight="1">
      <c r="A441" s="31"/>
      <c r="B441" s="72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6.5" customHeight="1">
      <c r="A442" s="31"/>
      <c r="B442" s="72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6.5" customHeight="1">
      <c r="A443" s="31"/>
      <c r="B443" s="72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6.5" customHeight="1">
      <c r="A444" s="31"/>
      <c r="B444" s="72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6.5" customHeight="1">
      <c r="A445" s="31"/>
      <c r="B445" s="72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6.5" customHeight="1">
      <c r="A446" s="31"/>
      <c r="B446" s="72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6.5" customHeight="1">
      <c r="A447" s="31"/>
      <c r="B447" s="72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6.5" customHeight="1">
      <c r="A448" s="31"/>
      <c r="B448" s="72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6.5" customHeight="1">
      <c r="A449" s="31"/>
      <c r="B449" s="72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6.5" customHeight="1">
      <c r="A450" s="31"/>
      <c r="B450" s="72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6.5" customHeight="1">
      <c r="A451" s="31"/>
      <c r="B451" s="72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6.5" customHeight="1">
      <c r="A452" s="31"/>
      <c r="B452" s="72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6.5" customHeight="1">
      <c r="A453" s="31"/>
      <c r="B453" s="72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6.5" customHeight="1">
      <c r="A454" s="31"/>
      <c r="B454" s="72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6.5" customHeight="1">
      <c r="A455" s="31"/>
      <c r="B455" s="72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6.5" customHeight="1">
      <c r="A456" s="31"/>
      <c r="B456" s="72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6.5" customHeight="1">
      <c r="A457" s="31"/>
      <c r="B457" s="72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6.5" customHeight="1">
      <c r="A458" s="31"/>
      <c r="B458" s="72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6.5" customHeight="1">
      <c r="A459" s="31"/>
      <c r="B459" s="72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6.5" customHeight="1">
      <c r="A460" s="31"/>
      <c r="B460" s="72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6.5" customHeight="1">
      <c r="A461" s="31"/>
      <c r="B461" s="72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6.5" customHeight="1">
      <c r="A462" s="31"/>
      <c r="B462" s="72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6.5" customHeight="1">
      <c r="A463" s="31"/>
      <c r="B463" s="72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6.5" customHeight="1">
      <c r="A464" s="31"/>
      <c r="B464" s="72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6.5" customHeight="1">
      <c r="A465" s="31"/>
      <c r="B465" s="72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6.5" customHeight="1">
      <c r="A466" s="31"/>
      <c r="B466" s="72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6.5" customHeight="1">
      <c r="A467" s="31"/>
      <c r="B467" s="72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6.5" customHeight="1">
      <c r="A468" s="31"/>
      <c r="B468" s="72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6.5" customHeight="1">
      <c r="A469" s="31"/>
      <c r="B469" s="72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6.5" customHeight="1">
      <c r="A470" s="31"/>
      <c r="B470" s="72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6.5" customHeight="1">
      <c r="A471" s="31"/>
      <c r="B471" s="72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6.5" customHeight="1">
      <c r="A472" s="31"/>
      <c r="B472" s="72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6.5" customHeight="1">
      <c r="A473" s="31"/>
      <c r="B473" s="72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6.5" customHeight="1">
      <c r="A474" s="31"/>
      <c r="B474" s="72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6.5" customHeight="1">
      <c r="A475" s="31"/>
      <c r="B475" s="72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6.5" customHeight="1">
      <c r="A476" s="31"/>
      <c r="B476" s="72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6.5" customHeight="1">
      <c r="A477" s="31"/>
      <c r="B477" s="72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6.5" customHeight="1">
      <c r="A478" s="31"/>
      <c r="B478" s="72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6.5" customHeight="1">
      <c r="A479" s="31"/>
      <c r="B479" s="72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6.5" customHeight="1">
      <c r="A480" s="31"/>
      <c r="B480" s="72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6.5" customHeight="1">
      <c r="A481" s="31"/>
      <c r="B481" s="72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6.5" customHeight="1">
      <c r="A482" s="31"/>
      <c r="B482" s="72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6.5" customHeight="1">
      <c r="A483" s="31"/>
      <c r="B483" s="72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6.5" customHeight="1">
      <c r="A484" s="31"/>
      <c r="B484" s="72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6.5" customHeight="1">
      <c r="A485" s="31"/>
      <c r="B485" s="72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6.5" customHeight="1">
      <c r="A486" s="31"/>
      <c r="B486" s="72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6.5" customHeight="1">
      <c r="A487" s="31"/>
      <c r="B487" s="72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6.5" customHeight="1">
      <c r="A488" s="31"/>
      <c r="B488" s="72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6.5" customHeight="1">
      <c r="A489" s="31"/>
      <c r="B489" s="72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6.5" customHeight="1">
      <c r="A490" s="31"/>
      <c r="B490" s="72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6.5" customHeight="1">
      <c r="A491" s="31"/>
      <c r="B491" s="72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6.5" customHeight="1">
      <c r="A492" s="31"/>
      <c r="B492" s="72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6.5" customHeight="1">
      <c r="A493" s="31"/>
      <c r="B493" s="72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6.5" customHeight="1">
      <c r="A494" s="31"/>
      <c r="B494" s="72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6.5" customHeight="1">
      <c r="A495" s="31"/>
      <c r="B495" s="72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6.5" customHeight="1">
      <c r="A496" s="31"/>
      <c r="B496" s="72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6.5" customHeight="1">
      <c r="A497" s="31"/>
      <c r="B497" s="72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6.5" customHeight="1">
      <c r="A498" s="31"/>
      <c r="B498" s="72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6.5" customHeight="1">
      <c r="A499" s="31"/>
      <c r="B499" s="72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6.5" customHeight="1">
      <c r="A500" s="31"/>
      <c r="B500" s="72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6.5" customHeight="1">
      <c r="A501" s="31"/>
      <c r="B501" s="72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6.5" customHeight="1">
      <c r="A502" s="31"/>
      <c r="B502" s="72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6.5" customHeight="1">
      <c r="A503" s="31"/>
      <c r="B503" s="72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6.5" customHeight="1">
      <c r="A504" s="31"/>
      <c r="B504" s="72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6.5" customHeight="1">
      <c r="A505" s="31"/>
      <c r="B505" s="72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6.5" customHeight="1">
      <c r="A506" s="31"/>
      <c r="B506" s="72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6.5" customHeight="1">
      <c r="A507" s="31"/>
      <c r="B507" s="72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6.5" customHeight="1">
      <c r="A508" s="31"/>
      <c r="B508" s="72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6.5" customHeight="1">
      <c r="A509" s="31"/>
      <c r="B509" s="72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6.5" customHeight="1">
      <c r="A510" s="31"/>
      <c r="B510" s="72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6.5" customHeight="1">
      <c r="A511" s="31"/>
      <c r="B511" s="72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6.5" customHeight="1">
      <c r="A512" s="31"/>
      <c r="B512" s="72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6.5" customHeight="1">
      <c r="A513" s="31"/>
      <c r="B513" s="72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6.5" customHeight="1">
      <c r="A514" s="31"/>
      <c r="B514" s="72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6.5" customHeight="1">
      <c r="A515" s="31"/>
      <c r="B515" s="72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6.5" customHeight="1">
      <c r="A516" s="31"/>
      <c r="B516" s="72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6.5" customHeight="1">
      <c r="A517" s="31"/>
      <c r="B517" s="72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6.5" customHeight="1">
      <c r="A518" s="31"/>
      <c r="B518" s="72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6.5" customHeight="1">
      <c r="A519" s="31"/>
      <c r="B519" s="72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6.5" customHeight="1">
      <c r="A520" s="31"/>
      <c r="B520" s="72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6.5" customHeight="1">
      <c r="A521" s="31"/>
      <c r="B521" s="72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6.5" customHeight="1">
      <c r="A522" s="31"/>
      <c r="B522" s="72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6.5" customHeight="1">
      <c r="A523" s="31"/>
      <c r="B523" s="72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6.5" customHeight="1">
      <c r="A524" s="31"/>
      <c r="B524" s="72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6.5" customHeight="1">
      <c r="A525" s="31"/>
      <c r="B525" s="72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6.5" customHeight="1">
      <c r="A526" s="31"/>
      <c r="B526" s="72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6.5" customHeight="1">
      <c r="A527" s="31"/>
      <c r="B527" s="72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6.5" customHeight="1">
      <c r="A528" s="31"/>
      <c r="B528" s="72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6.5" customHeight="1">
      <c r="A529" s="31"/>
      <c r="B529" s="72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6.5" customHeight="1">
      <c r="A530" s="31"/>
      <c r="B530" s="72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6.5" customHeight="1">
      <c r="A531" s="31"/>
      <c r="B531" s="72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6.5" customHeight="1">
      <c r="A532" s="31"/>
      <c r="B532" s="72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6.5" customHeight="1">
      <c r="A533" s="31"/>
      <c r="B533" s="72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6.5" customHeight="1">
      <c r="A534" s="31"/>
      <c r="B534" s="72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6.5" customHeight="1">
      <c r="A535" s="31"/>
      <c r="B535" s="72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6.5" customHeight="1">
      <c r="A536" s="31"/>
      <c r="B536" s="72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6.5" customHeight="1">
      <c r="A537" s="31"/>
      <c r="B537" s="72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6.5" customHeight="1">
      <c r="A538" s="31"/>
      <c r="B538" s="72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6.5" customHeight="1">
      <c r="A539" s="31"/>
      <c r="B539" s="72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6.5" customHeight="1">
      <c r="A540" s="31"/>
      <c r="B540" s="72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6.5" customHeight="1">
      <c r="A541" s="31"/>
      <c r="B541" s="72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6.5" customHeight="1">
      <c r="A542" s="31"/>
      <c r="B542" s="72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6.5" customHeight="1">
      <c r="A543" s="31"/>
      <c r="B543" s="72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6.5" customHeight="1">
      <c r="A544" s="31"/>
      <c r="B544" s="72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6.5" customHeight="1">
      <c r="A545" s="31"/>
      <c r="B545" s="72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6.5" customHeight="1">
      <c r="A546" s="31"/>
      <c r="B546" s="72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6.5" customHeight="1">
      <c r="A547" s="31"/>
      <c r="B547" s="72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6.5" customHeight="1">
      <c r="A548" s="31"/>
      <c r="B548" s="72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6.5" customHeight="1">
      <c r="A549" s="31"/>
      <c r="B549" s="72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6.5" customHeight="1">
      <c r="A550" s="31"/>
      <c r="B550" s="72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6.5" customHeight="1">
      <c r="A551" s="31"/>
      <c r="B551" s="72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6.5" customHeight="1">
      <c r="A552" s="31"/>
      <c r="B552" s="72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6.5" customHeight="1">
      <c r="A553" s="31"/>
      <c r="B553" s="72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6.5" customHeight="1">
      <c r="A554" s="31"/>
      <c r="B554" s="72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6.5" customHeight="1">
      <c r="A555" s="31"/>
      <c r="B555" s="72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6.5" customHeight="1">
      <c r="A556" s="31"/>
      <c r="B556" s="72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6.5" customHeight="1">
      <c r="A557" s="31"/>
      <c r="B557" s="72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6.5" customHeight="1">
      <c r="A558" s="31"/>
      <c r="B558" s="72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6.5" customHeight="1">
      <c r="A559" s="31"/>
      <c r="B559" s="72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6.5" customHeight="1">
      <c r="A560" s="31"/>
      <c r="B560" s="72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6.5" customHeight="1">
      <c r="A561" s="31"/>
      <c r="B561" s="72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6.5" customHeight="1">
      <c r="A562" s="31"/>
      <c r="B562" s="72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6.5" customHeight="1">
      <c r="A563" s="31"/>
      <c r="B563" s="72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6.5" customHeight="1">
      <c r="A564" s="31"/>
      <c r="B564" s="72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6.5" customHeight="1">
      <c r="A565" s="31"/>
      <c r="B565" s="72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6.5" customHeight="1">
      <c r="A566" s="31"/>
      <c r="B566" s="72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6.5" customHeight="1">
      <c r="A567" s="31"/>
      <c r="B567" s="72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6.5" customHeight="1">
      <c r="A568" s="31"/>
      <c r="B568" s="72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6.5" customHeight="1">
      <c r="A569" s="31"/>
      <c r="B569" s="72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6.5" customHeight="1">
      <c r="A570" s="31"/>
      <c r="B570" s="72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6.5" customHeight="1">
      <c r="A571" s="31"/>
      <c r="B571" s="72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6.5" customHeight="1">
      <c r="A572" s="31"/>
      <c r="B572" s="72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6.5" customHeight="1">
      <c r="A573" s="31"/>
      <c r="B573" s="72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6.5" customHeight="1">
      <c r="A574" s="31"/>
      <c r="B574" s="72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6.5" customHeight="1">
      <c r="A575" s="31"/>
      <c r="B575" s="72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6.5" customHeight="1">
      <c r="A576" s="31"/>
      <c r="B576" s="72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6.5" customHeight="1">
      <c r="A577" s="31"/>
      <c r="B577" s="72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6.5" customHeight="1">
      <c r="A578" s="31"/>
      <c r="B578" s="72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6.5" customHeight="1">
      <c r="A579" s="31"/>
      <c r="B579" s="72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6.5" customHeight="1">
      <c r="A580" s="31"/>
      <c r="B580" s="72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6.5" customHeight="1">
      <c r="A581" s="31"/>
      <c r="B581" s="72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6.5" customHeight="1">
      <c r="A582" s="31"/>
      <c r="B582" s="72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6.5" customHeight="1">
      <c r="A583" s="31"/>
      <c r="B583" s="72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6.5" customHeight="1">
      <c r="A584" s="31"/>
      <c r="B584" s="72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6.5" customHeight="1">
      <c r="A585" s="31"/>
      <c r="B585" s="72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6.5" customHeight="1">
      <c r="A586" s="31"/>
      <c r="B586" s="72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6.5" customHeight="1">
      <c r="A587" s="31"/>
      <c r="B587" s="72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6.5" customHeight="1">
      <c r="A588" s="31"/>
      <c r="B588" s="72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6.5" customHeight="1">
      <c r="A589" s="31"/>
      <c r="B589" s="72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6.5" customHeight="1">
      <c r="A590" s="31"/>
      <c r="B590" s="72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6.5" customHeight="1">
      <c r="A591" s="31"/>
      <c r="B591" s="72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6.5" customHeight="1">
      <c r="A592" s="31"/>
      <c r="B592" s="72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6.5" customHeight="1">
      <c r="A593" s="31"/>
      <c r="B593" s="72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6.5" customHeight="1">
      <c r="A594" s="31"/>
      <c r="B594" s="72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6.5" customHeight="1">
      <c r="A595" s="31"/>
      <c r="B595" s="72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6.5" customHeight="1">
      <c r="A596" s="31"/>
      <c r="B596" s="72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6.5" customHeight="1">
      <c r="A597" s="31"/>
      <c r="B597" s="72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6.5" customHeight="1">
      <c r="A598" s="31"/>
      <c r="B598" s="72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6.5" customHeight="1">
      <c r="A599" s="31"/>
      <c r="B599" s="72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6.5" customHeight="1">
      <c r="A600" s="31"/>
      <c r="B600" s="72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6.5" customHeight="1">
      <c r="A601" s="31"/>
      <c r="B601" s="72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6.5" customHeight="1">
      <c r="A602" s="31"/>
      <c r="B602" s="72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6.5" customHeight="1">
      <c r="A603" s="31"/>
      <c r="B603" s="72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6.5" customHeight="1">
      <c r="A604" s="31"/>
      <c r="B604" s="72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6.5" customHeight="1">
      <c r="A605" s="31"/>
      <c r="B605" s="72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6.5" customHeight="1">
      <c r="A606" s="31"/>
      <c r="B606" s="72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6.5" customHeight="1">
      <c r="A607" s="31"/>
      <c r="B607" s="72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6.5" customHeight="1">
      <c r="A608" s="31"/>
      <c r="B608" s="72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6.5" customHeight="1">
      <c r="A609" s="31"/>
      <c r="B609" s="72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6.5" customHeight="1">
      <c r="A610" s="31"/>
      <c r="B610" s="72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6.5" customHeight="1">
      <c r="A611" s="31"/>
      <c r="B611" s="72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6.5" customHeight="1">
      <c r="A612" s="31"/>
      <c r="B612" s="72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6.5" customHeight="1">
      <c r="A613" s="31"/>
      <c r="B613" s="72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6.5" customHeight="1">
      <c r="A614" s="31"/>
      <c r="B614" s="72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6.5" customHeight="1">
      <c r="A615" s="31"/>
      <c r="B615" s="72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6.5" customHeight="1">
      <c r="A616" s="31"/>
      <c r="B616" s="72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6.5" customHeight="1">
      <c r="A617" s="31"/>
      <c r="B617" s="72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6.5" customHeight="1">
      <c r="A618" s="31"/>
      <c r="B618" s="72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6.5" customHeight="1">
      <c r="A619" s="31"/>
      <c r="B619" s="72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6.5" customHeight="1">
      <c r="A620" s="31"/>
      <c r="B620" s="72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6.5" customHeight="1">
      <c r="A621" s="31"/>
      <c r="B621" s="72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6.5" customHeight="1">
      <c r="A622" s="31"/>
      <c r="B622" s="72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6.5" customHeight="1">
      <c r="A623" s="31"/>
      <c r="B623" s="72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6.5" customHeight="1">
      <c r="A624" s="31"/>
      <c r="B624" s="72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6.5" customHeight="1">
      <c r="A625" s="31"/>
      <c r="B625" s="72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6.5" customHeight="1">
      <c r="A626" s="31"/>
      <c r="B626" s="72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6.5" customHeight="1">
      <c r="A627" s="31"/>
      <c r="B627" s="72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6.5" customHeight="1">
      <c r="A628" s="31"/>
      <c r="B628" s="72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6.5" customHeight="1">
      <c r="A629" s="31"/>
      <c r="B629" s="72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6.5" customHeight="1">
      <c r="A630" s="31"/>
      <c r="B630" s="72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6.5" customHeight="1">
      <c r="A631" s="31"/>
      <c r="B631" s="72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6.5" customHeight="1">
      <c r="A632" s="31"/>
      <c r="B632" s="72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6.5" customHeight="1">
      <c r="A633" s="31"/>
      <c r="B633" s="72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6.5" customHeight="1">
      <c r="A634" s="31"/>
      <c r="B634" s="72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6.5" customHeight="1">
      <c r="A635" s="31"/>
      <c r="B635" s="72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6.5" customHeight="1">
      <c r="A636" s="31"/>
      <c r="B636" s="72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6.5" customHeight="1">
      <c r="A637" s="31"/>
      <c r="B637" s="72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6.5" customHeight="1">
      <c r="A638" s="31"/>
      <c r="B638" s="72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6.5" customHeight="1">
      <c r="A639" s="31"/>
      <c r="B639" s="72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6.5" customHeight="1">
      <c r="A640" s="31"/>
      <c r="B640" s="72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6.5" customHeight="1">
      <c r="A641" s="31"/>
      <c r="B641" s="72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6.5" customHeight="1">
      <c r="A642" s="31"/>
      <c r="B642" s="72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6.5" customHeight="1">
      <c r="A643" s="31"/>
      <c r="B643" s="72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6.5" customHeight="1">
      <c r="A644" s="31"/>
      <c r="B644" s="72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6.5" customHeight="1">
      <c r="A645" s="31"/>
      <c r="B645" s="72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6.5" customHeight="1">
      <c r="A646" s="31"/>
      <c r="B646" s="72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6.5" customHeight="1">
      <c r="A647" s="31"/>
      <c r="B647" s="72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6.5" customHeight="1">
      <c r="A648" s="31"/>
      <c r="B648" s="72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6.5" customHeight="1">
      <c r="A649" s="31"/>
      <c r="B649" s="72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6.5" customHeight="1">
      <c r="A650" s="31"/>
      <c r="B650" s="72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6.5" customHeight="1">
      <c r="A651" s="31"/>
      <c r="B651" s="72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6.5" customHeight="1">
      <c r="A652" s="31"/>
      <c r="B652" s="72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6.5" customHeight="1">
      <c r="A653" s="31"/>
      <c r="B653" s="72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6.5" customHeight="1">
      <c r="A654" s="31"/>
      <c r="B654" s="72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6.5" customHeight="1">
      <c r="A655" s="31"/>
      <c r="B655" s="72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6.5" customHeight="1">
      <c r="A656" s="31"/>
      <c r="B656" s="72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6.5" customHeight="1">
      <c r="A657" s="31"/>
      <c r="B657" s="72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6.5" customHeight="1">
      <c r="A658" s="31"/>
      <c r="B658" s="72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6.5" customHeight="1">
      <c r="A659" s="31"/>
      <c r="B659" s="72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6.5" customHeight="1">
      <c r="A660" s="31"/>
      <c r="B660" s="72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6.5" customHeight="1">
      <c r="A661" s="31"/>
      <c r="B661" s="72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6.5" customHeight="1">
      <c r="A662" s="31"/>
      <c r="B662" s="72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6.5" customHeight="1">
      <c r="A663" s="31"/>
      <c r="B663" s="72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6.5" customHeight="1">
      <c r="A664" s="31"/>
      <c r="B664" s="72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6.5" customHeight="1">
      <c r="A665" s="31"/>
      <c r="B665" s="72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6.5" customHeight="1">
      <c r="A666" s="31"/>
      <c r="B666" s="72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6.5" customHeight="1">
      <c r="A667" s="31"/>
      <c r="B667" s="72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6.5" customHeight="1">
      <c r="A668" s="31"/>
      <c r="B668" s="72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6.5" customHeight="1">
      <c r="A669" s="31"/>
      <c r="B669" s="72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6.5" customHeight="1">
      <c r="A670" s="31"/>
      <c r="B670" s="72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6.5" customHeight="1">
      <c r="A671" s="31"/>
      <c r="B671" s="72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6.5" customHeight="1">
      <c r="A672" s="31"/>
      <c r="B672" s="72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6.5" customHeight="1">
      <c r="A673" s="31"/>
      <c r="B673" s="72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6.5" customHeight="1">
      <c r="A674" s="31"/>
      <c r="B674" s="72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6.5" customHeight="1">
      <c r="A675" s="31"/>
      <c r="B675" s="72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6.5" customHeight="1">
      <c r="A676" s="31"/>
      <c r="B676" s="72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6.5" customHeight="1">
      <c r="A677" s="31"/>
      <c r="B677" s="72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6.5" customHeight="1">
      <c r="A678" s="31"/>
      <c r="B678" s="72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6.5" customHeight="1">
      <c r="A679" s="31"/>
      <c r="B679" s="72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6.5" customHeight="1">
      <c r="A680" s="31"/>
      <c r="B680" s="72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6.5" customHeight="1">
      <c r="A681" s="31"/>
      <c r="B681" s="72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6.5" customHeight="1">
      <c r="A682" s="31"/>
      <c r="B682" s="72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6.5" customHeight="1">
      <c r="A683" s="31"/>
      <c r="B683" s="72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6.5" customHeight="1">
      <c r="A684" s="31"/>
      <c r="B684" s="72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6.5" customHeight="1">
      <c r="A685" s="31"/>
      <c r="B685" s="72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6.5" customHeight="1">
      <c r="A686" s="31"/>
      <c r="B686" s="72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6.5" customHeight="1">
      <c r="A687" s="31"/>
      <c r="B687" s="72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6.5" customHeight="1">
      <c r="A688" s="31"/>
      <c r="B688" s="72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6.5" customHeight="1">
      <c r="A689" s="31"/>
      <c r="B689" s="72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6.5" customHeight="1">
      <c r="A690" s="31"/>
      <c r="B690" s="72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6.5" customHeight="1">
      <c r="A691" s="31"/>
      <c r="B691" s="72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6.5" customHeight="1">
      <c r="A692" s="31"/>
      <c r="B692" s="72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6.5" customHeight="1">
      <c r="A693" s="31"/>
      <c r="B693" s="72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6.5" customHeight="1">
      <c r="A694" s="31"/>
      <c r="B694" s="72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6.5" customHeight="1">
      <c r="A695" s="31"/>
      <c r="B695" s="72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6.5" customHeight="1">
      <c r="A696" s="31"/>
      <c r="B696" s="72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6.5" customHeight="1">
      <c r="A697" s="31"/>
      <c r="B697" s="72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6.5" customHeight="1">
      <c r="A698" s="31"/>
      <c r="B698" s="72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6.5" customHeight="1">
      <c r="A699" s="31"/>
      <c r="B699" s="72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6.5" customHeight="1">
      <c r="A700" s="31"/>
      <c r="B700" s="72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6.5" customHeight="1">
      <c r="A701" s="31"/>
      <c r="B701" s="72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6.5" customHeight="1">
      <c r="A702" s="31"/>
      <c r="B702" s="72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6.5" customHeight="1">
      <c r="A703" s="31"/>
      <c r="B703" s="72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6.5" customHeight="1">
      <c r="A704" s="31"/>
      <c r="B704" s="72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6.5" customHeight="1">
      <c r="A705" s="31"/>
      <c r="B705" s="72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6.5" customHeight="1">
      <c r="A706" s="31"/>
      <c r="B706" s="72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6.5" customHeight="1">
      <c r="A707" s="31"/>
      <c r="B707" s="72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6.5" customHeight="1">
      <c r="A708" s="31"/>
      <c r="B708" s="72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6.5" customHeight="1">
      <c r="A709" s="31"/>
      <c r="B709" s="72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6.5" customHeight="1">
      <c r="A710" s="31"/>
      <c r="B710" s="72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6.5" customHeight="1">
      <c r="A711" s="31"/>
      <c r="B711" s="72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6.5" customHeight="1">
      <c r="A712" s="31"/>
      <c r="B712" s="72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6.5" customHeight="1">
      <c r="A713" s="31"/>
      <c r="B713" s="72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6.5" customHeight="1">
      <c r="A714" s="31"/>
      <c r="B714" s="72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6.5" customHeight="1">
      <c r="A715" s="31"/>
      <c r="B715" s="72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6.5" customHeight="1">
      <c r="A716" s="31"/>
      <c r="B716" s="72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6.5" customHeight="1">
      <c r="A717" s="31"/>
      <c r="B717" s="72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6.5" customHeight="1">
      <c r="A718" s="31"/>
      <c r="B718" s="72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6.5" customHeight="1">
      <c r="A719" s="31"/>
      <c r="B719" s="72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6.5" customHeight="1">
      <c r="A720" s="31"/>
      <c r="B720" s="72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6.5" customHeight="1">
      <c r="A721" s="31"/>
      <c r="B721" s="72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6.5" customHeight="1">
      <c r="A722" s="31"/>
      <c r="B722" s="72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6.5" customHeight="1">
      <c r="A723" s="31"/>
      <c r="B723" s="72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6.5" customHeight="1">
      <c r="A724" s="31"/>
      <c r="B724" s="72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6.5" customHeight="1">
      <c r="A725" s="31"/>
      <c r="B725" s="72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6.5" customHeight="1">
      <c r="A726" s="31"/>
      <c r="B726" s="72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6.5" customHeight="1">
      <c r="A727" s="31"/>
      <c r="B727" s="72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6.5" customHeight="1">
      <c r="A728" s="31"/>
      <c r="B728" s="72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6.5" customHeight="1">
      <c r="A729" s="31"/>
      <c r="B729" s="72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6.5" customHeight="1">
      <c r="A730" s="31"/>
      <c r="B730" s="72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6.5" customHeight="1">
      <c r="A731" s="31"/>
      <c r="B731" s="72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6.5" customHeight="1">
      <c r="A732" s="31"/>
      <c r="B732" s="72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6.5" customHeight="1">
      <c r="A733" s="31"/>
      <c r="B733" s="72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6.5" customHeight="1">
      <c r="A734" s="31"/>
      <c r="B734" s="72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6.5" customHeight="1">
      <c r="A735" s="31"/>
      <c r="B735" s="72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6.5" customHeight="1">
      <c r="A736" s="31"/>
      <c r="B736" s="72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6.5" customHeight="1">
      <c r="A737" s="31"/>
      <c r="B737" s="72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6.5" customHeight="1">
      <c r="A738" s="31"/>
      <c r="B738" s="72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6.5" customHeight="1">
      <c r="A739" s="31"/>
      <c r="B739" s="72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6.5" customHeight="1">
      <c r="A740" s="31"/>
      <c r="B740" s="72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6.5" customHeight="1">
      <c r="A741" s="31"/>
      <c r="B741" s="72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6.5" customHeight="1">
      <c r="A742" s="31"/>
      <c r="B742" s="72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6.5" customHeight="1">
      <c r="A743" s="31"/>
      <c r="B743" s="72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6.5" customHeight="1">
      <c r="A744" s="31"/>
      <c r="B744" s="72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6.5" customHeight="1">
      <c r="A745" s="31"/>
      <c r="B745" s="72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6.5" customHeight="1">
      <c r="A746" s="31"/>
      <c r="B746" s="72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6.5" customHeight="1">
      <c r="A747" s="31"/>
      <c r="B747" s="72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6.5" customHeight="1">
      <c r="A748" s="31"/>
      <c r="B748" s="72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6.5" customHeight="1">
      <c r="A749" s="31"/>
      <c r="B749" s="72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6.5" customHeight="1">
      <c r="A750" s="31"/>
      <c r="B750" s="72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6.5" customHeight="1">
      <c r="A751" s="31"/>
      <c r="B751" s="72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6.5" customHeight="1">
      <c r="A752" s="31"/>
      <c r="B752" s="72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6.5" customHeight="1">
      <c r="A753" s="31"/>
      <c r="B753" s="72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6.5" customHeight="1">
      <c r="A754" s="31"/>
      <c r="B754" s="72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6.5" customHeight="1">
      <c r="A755" s="31"/>
      <c r="B755" s="72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6.5" customHeight="1">
      <c r="A756" s="31"/>
      <c r="B756" s="72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6.5" customHeight="1">
      <c r="A757" s="31"/>
      <c r="B757" s="72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6.5" customHeight="1">
      <c r="A758" s="31"/>
      <c r="B758" s="72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6.5" customHeight="1">
      <c r="A759" s="31"/>
      <c r="B759" s="72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6.5" customHeight="1">
      <c r="A760" s="31"/>
      <c r="B760" s="72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6.5" customHeight="1">
      <c r="A761" s="31"/>
      <c r="B761" s="72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6.5" customHeight="1">
      <c r="A762" s="31"/>
      <c r="B762" s="72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6.5" customHeight="1">
      <c r="A763" s="31"/>
      <c r="B763" s="72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6.5" customHeight="1">
      <c r="A764" s="31"/>
      <c r="B764" s="72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6.5" customHeight="1">
      <c r="A765" s="31"/>
      <c r="B765" s="72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6.5" customHeight="1">
      <c r="A766" s="31"/>
      <c r="B766" s="72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6.5" customHeight="1">
      <c r="A767" s="31"/>
      <c r="B767" s="72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6.5" customHeight="1">
      <c r="A768" s="31"/>
      <c r="B768" s="72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6.5" customHeight="1">
      <c r="A769" s="31"/>
      <c r="B769" s="72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6.5" customHeight="1">
      <c r="A770" s="31"/>
      <c r="B770" s="72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6.5" customHeight="1">
      <c r="A771" s="31"/>
      <c r="B771" s="72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6.5" customHeight="1">
      <c r="A772" s="31"/>
      <c r="B772" s="72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6.5" customHeight="1">
      <c r="A773" s="31"/>
      <c r="B773" s="72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6.5" customHeight="1">
      <c r="A774" s="31"/>
      <c r="B774" s="72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6.5" customHeight="1">
      <c r="A775" s="31"/>
      <c r="B775" s="72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6.5" customHeight="1">
      <c r="A776" s="31"/>
      <c r="B776" s="72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6.5" customHeight="1">
      <c r="A777" s="31"/>
      <c r="B777" s="72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6.5" customHeight="1">
      <c r="A778" s="31"/>
      <c r="B778" s="72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6.5" customHeight="1">
      <c r="A779" s="31"/>
      <c r="B779" s="72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6.5" customHeight="1">
      <c r="A780" s="31"/>
      <c r="B780" s="72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6.5" customHeight="1">
      <c r="A781" s="31"/>
      <c r="B781" s="72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6.5" customHeight="1">
      <c r="A782" s="31"/>
      <c r="B782" s="72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6.5" customHeight="1">
      <c r="A783" s="31"/>
      <c r="B783" s="72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6.5" customHeight="1">
      <c r="A784" s="31"/>
      <c r="B784" s="72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6.5" customHeight="1">
      <c r="A785" s="31"/>
      <c r="B785" s="72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6.5" customHeight="1">
      <c r="A786" s="31"/>
      <c r="B786" s="72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6.5" customHeight="1">
      <c r="A787" s="31"/>
      <c r="B787" s="72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6.5" customHeight="1">
      <c r="A788" s="31"/>
      <c r="B788" s="72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6.5" customHeight="1">
      <c r="A789" s="31"/>
      <c r="B789" s="72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6.5" customHeight="1">
      <c r="A790" s="31"/>
      <c r="B790" s="72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6.5" customHeight="1">
      <c r="A791" s="31"/>
      <c r="B791" s="72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6.5" customHeight="1">
      <c r="A792" s="31"/>
      <c r="B792" s="72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6.5" customHeight="1">
      <c r="A793" s="31"/>
      <c r="B793" s="72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6.5" customHeight="1">
      <c r="A794" s="31"/>
      <c r="B794" s="72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6.5" customHeight="1">
      <c r="A795" s="31"/>
      <c r="B795" s="72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6.5" customHeight="1">
      <c r="A796" s="31"/>
      <c r="B796" s="72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6.5" customHeight="1">
      <c r="A797" s="31"/>
      <c r="B797" s="72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6.5" customHeight="1">
      <c r="A798" s="31"/>
      <c r="B798" s="72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6.5" customHeight="1">
      <c r="A799" s="31"/>
      <c r="B799" s="72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6.5" customHeight="1">
      <c r="A800" s="31"/>
      <c r="B800" s="72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6.5" customHeight="1">
      <c r="A801" s="31"/>
      <c r="B801" s="72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6.5" customHeight="1">
      <c r="A802" s="31"/>
      <c r="B802" s="72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6.5" customHeight="1">
      <c r="A803" s="31"/>
      <c r="B803" s="72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6.5" customHeight="1">
      <c r="A804" s="31"/>
      <c r="B804" s="72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6.5" customHeight="1">
      <c r="A805" s="31"/>
      <c r="B805" s="72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6.5" customHeight="1">
      <c r="A806" s="31"/>
      <c r="B806" s="72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6.5" customHeight="1">
      <c r="A807" s="31"/>
      <c r="B807" s="72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6.5" customHeight="1">
      <c r="A808" s="31"/>
      <c r="B808" s="72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6.5" customHeight="1">
      <c r="A809" s="31"/>
      <c r="B809" s="72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6.5" customHeight="1">
      <c r="A810" s="31"/>
      <c r="B810" s="72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6.5" customHeight="1">
      <c r="A811" s="31"/>
      <c r="B811" s="72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6.5" customHeight="1">
      <c r="A812" s="31"/>
      <c r="B812" s="72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6.5" customHeight="1">
      <c r="A813" s="31"/>
      <c r="B813" s="72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6.5" customHeight="1">
      <c r="A814" s="31"/>
      <c r="B814" s="72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6.5" customHeight="1">
      <c r="A815" s="31"/>
      <c r="B815" s="72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6.5" customHeight="1">
      <c r="A816" s="31"/>
      <c r="B816" s="72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6.5" customHeight="1">
      <c r="A817" s="31"/>
      <c r="B817" s="72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6.5" customHeight="1">
      <c r="A818" s="31"/>
      <c r="B818" s="72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6.5" customHeight="1">
      <c r="A819" s="31"/>
      <c r="B819" s="72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6.5" customHeight="1">
      <c r="A820" s="31"/>
      <c r="B820" s="72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6.5" customHeight="1">
      <c r="A821" s="31"/>
      <c r="B821" s="72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6.5" customHeight="1">
      <c r="A822" s="31"/>
      <c r="B822" s="72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6.5" customHeight="1">
      <c r="A823" s="31"/>
      <c r="B823" s="72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6.5" customHeight="1">
      <c r="A824" s="31"/>
      <c r="B824" s="72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6.5" customHeight="1">
      <c r="A825" s="31"/>
      <c r="B825" s="72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6.5" customHeight="1">
      <c r="A826" s="31"/>
      <c r="B826" s="72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6.5" customHeight="1">
      <c r="A827" s="31"/>
      <c r="B827" s="72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6.5" customHeight="1">
      <c r="A828" s="31"/>
      <c r="B828" s="72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6.5" customHeight="1">
      <c r="A829" s="31"/>
      <c r="B829" s="72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6.5" customHeight="1">
      <c r="A830" s="31"/>
      <c r="B830" s="72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6.5" customHeight="1">
      <c r="A831" s="31"/>
      <c r="B831" s="72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6.5" customHeight="1">
      <c r="A832" s="31"/>
      <c r="B832" s="72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6.5" customHeight="1">
      <c r="A833" s="31"/>
      <c r="B833" s="72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6.5" customHeight="1">
      <c r="A834" s="31"/>
      <c r="B834" s="72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6.5" customHeight="1">
      <c r="A835" s="31"/>
      <c r="B835" s="72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6.5" customHeight="1">
      <c r="A836" s="31"/>
      <c r="B836" s="72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6.5" customHeight="1">
      <c r="A837" s="31"/>
      <c r="B837" s="72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6.5" customHeight="1">
      <c r="A838" s="31"/>
      <c r="B838" s="72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6.5" customHeight="1">
      <c r="A839" s="31"/>
      <c r="B839" s="72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6.5" customHeight="1">
      <c r="A840" s="31"/>
      <c r="B840" s="72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6.5" customHeight="1">
      <c r="A841" s="31"/>
      <c r="B841" s="72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6.5" customHeight="1">
      <c r="A842" s="31"/>
      <c r="B842" s="72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6.5" customHeight="1">
      <c r="A843" s="31"/>
      <c r="B843" s="72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6.5" customHeight="1">
      <c r="A844" s="31"/>
      <c r="B844" s="72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6.5" customHeight="1">
      <c r="A845" s="31"/>
      <c r="B845" s="72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6.5" customHeight="1">
      <c r="A846" s="31"/>
      <c r="B846" s="72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6.5" customHeight="1">
      <c r="A847" s="31"/>
      <c r="B847" s="72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6.5" customHeight="1">
      <c r="A848" s="31"/>
      <c r="B848" s="72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6.5" customHeight="1">
      <c r="A849" s="31"/>
      <c r="B849" s="72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6.5" customHeight="1">
      <c r="A850" s="31"/>
      <c r="B850" s="72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6.5" customHeight="1">
      <c r="A851" s="31"/>
      <c r="B851" s="72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6.5" customHeight="1">
      <c r="A852" s="31"/>
      <c r="B852" s="72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6.5" customHeight="1">
      <c r="A853" s="31"/>
      <c r="B853" s="72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6.5" customHeight="1">
      <c r="A854" s="31"/>
      <c r="B854" s="72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6.5" customHeight="1">
      <c r="A855" s="31"/>
      <c r="B855" s="72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6.5" customHeight="1">
      <c r="A856" s="31"/>
      <c r="B856" s="72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6.5" customHeight="1">
      <c r="A857" s="31"/>
      <c r="B857" s="72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6.5" customHeight="1">
      <c r="A858" s="31"/>
      <c r="B858" s="72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6.5" customHeight="1">
      <c r="A859" s="31"/>
      <c r="B859" s="72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6.5" customHeight="1">
      <c r="A860" s="31"/>
      <c r="B860" s="72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6.5" customHeight="1">
      <c r="A861" s="31"/>
      <c r="B861" s="72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6.5" customHeight="1">
      <c r="A862" s="31"/>
      <c r="B862" s="72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6.5" customHeight="1">
      <c r="A863" s="31"/>
      <c r="B863" s="72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6.5" customHeight="1">
      <c r="A864" s="31"/>
      <c r="B864" s="72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6.5" customHeight="1">
      <c r="A865" s="31"/>
      <c r="B865" s="72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6.5" customHeight="1">
      <c r="A866" s="31"/>
      <c r="B866" s="72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6.5" customHeight="1">
      <c r="A867" s="31"/>
      <c r="B867" s="72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6.5" customHeight="1">
      <c r="A868" s="31"/>
      <c r="B868" s="72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6.5" customHeight="1">
      <c r="A869" s="31"/>
      <c r="B869" s="72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6.5" customHeight="1">
      <c r="A870" s="31"/>
      <c r="B870" s="72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6.5" customHeight="1">
      <c r="A871" s="31"/>
      <c r="B871" s="72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6.5" customHeight="1">
      <c r="A872" s="31"/>
      <c r="B872" s="72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6.5" customHeight="1">
      <c r="A873" s="31"/>
      <c r="B873" s="72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6.5" customHeight="1">
      <c r="A874" s="31"/>
      <c r="B874" s="72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6.5" customHeight="1">
      <c r="A875" s="31"/>
      <c r="B875" s="72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6.5" customHeight="1">
      <c r="A876" s="31"/>
      <c r="B876" s="72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6.5" customHeight="1">
      <c r="A877" s="31"/>
      <c r="B877" s="72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6.5" customHeight="1">
      <c r="A878" s="31"/>
      <c r="B878" s="72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6.5" customHeight="1">
      <c r="A879" s="31"/>
      <c r="B879" s="72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6.5" customHeight="1">
      <c r="A880" s="31"/>
      <c r="B880" s="72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6.5" customHeight="1">
      <c r="A881" s="31"/>
      <c r="B881" s="72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6.5" customHeight="1">
      <c r="A882" s="31"/>
      <c r="B882" s="72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6.5" customHeight="1">
      <c r="A883" s="31"/>
      <c r="B883" s="72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6.5" customHeight="1">
      <c r="A884" s="31"/>
      <c r="B884" s="72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6.5" customHeight="1">
      <c r="A885" s="31"/>
      <c r="B885" s="72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6.5" customHeight="1">
      <c r="A886" s="31"/>
      <c r="B886" s="72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6.5" customHeight="1">
      <c r="A887" s="31"/>
      <c r="B887" s="72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6.5" customHeight="1">
      <c r="A888" s="31"/>
      <c r="B888" s="72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6.5" customHeight="1">
      <c r="A889" s="31"/>
      <c r="B889" s="72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6.5" customHeight="1">
      <c r="A890" s="31"/>
      <c r="B890" s="72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6.5" customHeight="1">
      <c r="A891" s="31"/>
      <c r="B891" s="72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6.5" customHeight="1">
      <c r="A892" s="31"/>
      <c r="B892" s="72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6.5" customHeight="1">
      <c r="A893" s="31"/>
      <c r="B893" s="72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6.5" customHeight="1">
      <c r="A894" s="31"/>
      <c r="B894" s="72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6.5" customHeight="1">
      <c r="A895" s="31"/>
      <c r="B895" s="72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6.5" customHeight="1">
      <c r="A896" s="31"/>
      <c r="B896" s="72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6.5" customHeight="1">
      <c r="A897" s="31"/>
      <c r="B897" s="72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6.5" customHeight="1">
      <c r="A898" s="31"/>
      <c r="B898" s="72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6.5" customHeight="1">
      <c r="A899" s="31"/>
      <c r="B899" s="72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6.5" customHeight="1">
      <c r="A900" s="31"/>
      <c r="B900" s="72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6.5" customHeight="1">
      <c r="A901" s="31"/>
      <c r="B901" s="72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6.5" customHeight="1">
      <c r="A902" s="31"/>
      <c r="B902" s="72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6.5" customHeight="1">
      <c r="A903" s="31"/>
      <c r="B903" s="72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6.5" customHeight="1">
      <c r="A904" s="31"/>
      <c r="B904" s="72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6.5" customHeight="1">
      <c r="A905" s="31"/>
      <c r="B905" s="72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6.5" customHeight="1">
      <c r="A906" s="31"/>
      <c r="B906" s="72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6.5" customHeight="1">
      <c r="A907" s="31"/>
      <c r="B907" s="72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6.5" customHeight="1">
      <c r="A908" s="31"/>
      <c r="B908" s="72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6.5" customHeight="1">
      <c r="A909" s="31"/>
      <c r="B909" s="72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6.5" customHeight="1">
      <c r="A910" s="31"/>
      <c r="B910" s="72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6.5" customHeight="1">
      <c r="A911" s="31"/>
      <c r="B911" s="72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6.5" customHeight="1">
      <c r="A912" s="31"/>
      <c r="B912" s="72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6.5" customHeight="1">
      <c r="A913" s="31"/>
      <c r="B913" s="72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6.5" customHeight="1">
      <c r="A914" s="31"/>
      <c r="B914" s="72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6.5" customHeight="1">
      <c r="A915" s="31"/>
      <c r="B915" s="72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6.5" customHeight="1">
      <c r="A916" s="31"/>
      <c r="B916" s="72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6.5" customHeight="1">
      <c r="A917" s="31"/>
      <c r="B917" s="72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6.5" customHeight="1">
      <c r="A918" s="31"/>
      <c r="B918" s="72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6.5" customHeight="1">
      <c r="A919" s="31"/>
      <c r="B919" s="72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6.5" customHeight="1">
      <c r="A920" s="31"/>
      <c r="B920" s="72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6.5" customHeight="1">
      <c r="A921" s="31"/>
      <c r="B921" s="72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6.5" customHeight="1">
      <c r="A922" s="31"/>
      <c r="B922" s="72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6.5" customHeight="1">
      <c r="A923" s="31"/>
      <c r="B923" s="72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6.5" customHeight="1">
      <c r="A924" s="31"/>
      <c r="B924" s="72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6.5" customHeight="1">
      <c r="A925" s="31"/>
      <c r="B925" s="72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6.5" customHeight="1">
      <c r="A926" s="31"/>
      <c r="B926" s="72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6.5" customHeight="1">
      <c r="A927" s="31"/>
      <c r="B927" s="72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6.5" customHeight="1">
      <c r="A928" s="31"/>
      <c r="B928" s="72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6.5" customHeight="1">
      <c r="A929" s="31"/>
      <c r="B929" s="72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6.5" customHeight="1">
      <c r="A930" s="31"/>
      <c r="B930" s="72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6.5" customHeight="1">
      <c r="A931" s="31"/>
      <c r="B931" s="72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6.5" customHeight="1">
      <c r="A932" s="31"/>
      <c r="B932" s="72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6.5" customHeight="1">
      <c r="A933" s="31"/>
      <c r="B933" s="72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6.5" customHeight="1">
      <c r="A934" s="31"/>
      <c r="B934" s="72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6.5" customHeight="1">
      <c r="A935" s="31"/>
      <c r="B935" s="72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6.5" customHeight="1">
      <c r="A936" s="31"/>
      <c r="B936" s="72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6.5" customHeight="1">
      <c r="A937" s="31"/>
      <c r="B937" s="72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6.5" customHeight="1">
      <c r="A938" s="31"/>
      <c r="B938" s="72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6.5" customHeight="1">
      <c r="A939" s="31"/>
      <c r="B939" s="72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6.5" customHeight="1">
      <c r="A940" s="31"/>
      <c r="B940" s="72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6.5" customHeight="1">
      <c r="A941" s="31"/>
      <c r="B941" s="72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6.5" customHeight="1">
      <c r="A942" s="31"/>
      <c r="B942" s="72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6.5" customHeight="1">
      <c r="A943" s="31"/>
      <c r="B943" s="72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6.5" customHeight="1">
      <c r="A944" s="31"/>
      <c r="B944" s="72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6.5" customHeight="1">
      <c r="A945" s="31"/>
      <c r="B945" s="72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6.5" customHeight="1">
      <c r="A946" s="31"/>
      <c r="B946" s="72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6.5" customHeight="1">
      <c r="A947" s="31"/>
      <c r="B947" s="72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6.5" customHeight="1">
      <c r="A948" s="31"/>
      <c r="B948" s="72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6.5" customHeight="1">
      <c r="A949" s="31"/>
      <c r="B949" s="72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6.5" customHeight="1">
      <c r="A950" s="31"/>
      <c r="B950" s="72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6.5" customHeight="1">
      <c r="A951" s="31"/>
      <c r="B951" s="72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6.5" customHeight="1">
      <c r="A952" s="31"/>
      <c r="B952" s="72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6.5" customHeight="1">
      <c r="A953" s="31"/>
      <c r="B953" s="72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6.5" customHeight="1">
      <c r="A954" s="31"/>
      <c r="B954" s="72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6.5" customHeight="1">
      <c r="A955" s="31"/>
      <c r="B955" s="72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6.5" customHeight="1">
      <c r="A956" s="31"/>
      <c r="B956" s="72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6.5" customHeight="1">
      <c r="A957" s="31"/>
      <c r="B957" s="72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6.5" customHeight="1">
      <c r="A958" s="31"/>
      <c r="B958" s="72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6.5" customHeight="1">
      <c r="A959" s="31"/>
      <c r="B959" s="72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6.5" customHeight="1">
      <c r="A960" s="31"/>
      <c r="B960" s="72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6.5" customHeight="1">
      <c r="A961" s="31"/>
      <c r="B961" s="72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6.5" customHeight="1">
      <c r="A962" s="31"/>
      <c r="B962" s="72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6.5" customHeight="1">
      <c r="A963" s="31"/>
      <c r="B963" s="72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6.5" customHeight="1">
      <c r="A964" s="31"/>
      <c r="B964" s="72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6.5" customHeight="1">
      <c r="A965" s="31"/>
      <c r="B965" s="72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6.5" customHeight="1">
      <c r="A966" s="31"/>
      <c r="B966" s="72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6.5" customHeight="1">
      <c r="A967" s="31"/>
      <c r="B967" s="72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6.5" customHeight="1">
      <c r="A968" s="31"/>
      <c r="B968" s="72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6.5" customHeight="1">
      <c r="A969" s="31"/>
      <c r="B969" s="72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6.5" customHeight="1">
      <c r="A970" s="31"/>
      <c r="B970" s="72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6.5" customHeight="1">
      <c r="A971" s="31"/>
      <c r="B971" s="72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6.5" customHeight="1">
      <c r="A972" s="31"/>
      <c r="B972" s="72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6.5" customHeight="1">
      <c r="A973" s="31"/>
      <c r="B973" s="72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6.5" customHeight="1">
      <c r="A974" s="31"/>
      <c r="B974" s="72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6.5" customHeight="1">
      <c r="A975" s="31"/>
      <c r="B975" s="72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6.5" customHeight="1">
      <c r="A976" s="31"/>
      <c r="B976" s="72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6.5" customHeight="1">
      <c r="A977" s="31"/>
      <c r="B977" s="72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6.5" customHeight="1">
      <c r="A978" s="31"/>
      <c r="B978" s="72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6.5" customHeight="1">
      <c r="A979" s="31"/>
      <c r="B979" s="72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6.5" customHeight="1">
      <c r="A980" s="31"/>
      <c r="B980" s="72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6.5" customHeight="1">
      <c r="A981" s="31"/>
      <c r="B981" s="72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6.5" customHeight="1">
      <c r="A982" s="31"/>
      <c r="B982" s="72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6.5" customHeight="1">
      <c r="A983" s="31"/>
      <c r="B983" s="72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6.5" customHeight="1">
      <c r="A984" s="31"/>
      <c r="B984" s="72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6.5" customHeight="1">
      <c r="A985" s="31"/>
      <c r="B985" s="72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6.5" customHeight="1">
      <c r="A986" s="31"/>
      <c r="B986" s="72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6.5" customHeight="1">
      <c r="A987" s="31"/>
      <c r="B987" s="72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6.5" customHeight="1">
      <c r="A988" s="31"/>
      <c r="B988" s="72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6.5" customHeight="1">
      <c r="A989" s="31"/>
      <c r="B989" s="72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6.5" customHeight="1">
      <c r="A990" s="31"/>
      <c r="B990" s="72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6.5" customHeight="1">
      <c r="A991" s="31"/>
      <c r="B991" s="72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6.5" customHeight="1">
      <c r="A992" s="31"/>
      <c r="B992" s="72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6.5" customHeight="1">
      <c r="A993" s="31"/>
      <c r="B993" s="72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6.5" customHeight="1">
      <c r="A994" s="31"/>
      <c r="B994" s="72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6.5" customHeight="1">
      <c r="A995" s="31"/>
      <c r="B995" s="72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6.5" customHeight="1">
      <c r="A996" s="31"/>
      <c r="B996" s="72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6.5" customHeight="1">
      <c r="A997" s="31"/>
      <c r="B997" s="72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6.5" customHeight="1">
      <c r="A998" s="31"/>
      <c r="B998" s="72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6.5" customHeight="1">
      <c r="A999" s="31"/>
      <c r="B999" s="72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6.5" customHeight="1">
      <c r="A1000" s="31"/>
      <c r="B1000" s="72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dataValidations>
    <dataValidation type="list" allowBlank="1" sqref="B17">
      <formula1>"共1輛,共2輛,共3輛"</formula1>
    </dataValidation>
    <dataValidation type="list" allowBlank="1" sqref="B16">
      <formula1>"20尺鷗翼,40尺鷗翼,氣墊車,超低板"</formula1>
    </dataValidation>
    <dataValidation type="list" allowBlank="1" sqref="B22">
      <formula1>"TRUE,FALSE"</formula1>
    </dataValidation>
  </dataValidation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FF"/>
    <pageSetUpPr fitToPage="1"/>
  </sheetPr>
  <sheetViews>
    <sheetView workbookViewId="0"/>
  </sheetViews>
  <sheetFormatPr customHeight="1" defaultColWidth="11.22" defaultRowHeight="15.0"/>
  <cols>
    <col customWidth="1" min="1" max="1" width="8.89"/>
    <col customWidth="1" min="2" max="2" width="10.0"/>
    <col customWidth="1" min="3" max="3" width="24.22"/>
    <col customWidth="1" min="4" max="4" width="13.33"/>
    <col customWidth="1" min="5" max="5" width="9.78"/>
    <col customWidth="1" min="6" max="6" width="15.67"/>
    <col customWidth="1" min="7" max="26" width="7.0"/>
  </cols>
  <sheetData>
    <row r="1" ht="16.5" customHeight="1">
      <c r="A1" s="73" t="s">
        <v>249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30.0" customHeight="1">
      <c r="A2" s="74" t="s">
        <v>250</v>
      </c>
      <c r="B2" s="75"/>
      <c r="C2" s="75"/>
      <c r="D2" s="75"/>
      <c r="E2" s="75"/>
      <c r="F2" s="75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42.0" customHeight="1">
      <c r="A3" s="76" t="s">
        <v>129</v>
      </c>
      <c r="B3" s="77" t="str">
        <f>CONCATENATE('派車單--資料寫入'!B2)</f>
        <v> 55-02137</v>
      </c>
      <c r="C3" s="78"/>
      <c r="D3" s="79"/>
      <c r="E3" s="76" t="s">
        <v>251</v>
      </c>
      <c r="F3" s="80">
        <v>1.0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42.0" customHeight="1">
      <c r="A4" s="76" t="s">
        <v>137</v>
      </c>
      <c r="B4" s="81">
        <f>'派車單--資料寫入'!B6</f>
        <v>46212</v>
      </c>
      <c r="C4" s="78"/>
      <c r="D4" s="79"/>
      <c r="E4" s="76" t="s">
        <v>140</v>
      </c>
      <c r="F4" s="82">
        <f>'派車單--資料寫入'!B7</f>
        <v>0.7083333333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42.0" customHeight="1">
      <c r="A5" s="76" t="s">
        <v>149</v>
      </c>
      <c r="B5" s="81">
        <f>'派車單--資料寫入'!B10</f>
        <v>46213</v>
      </c>
      <c r="C5" s="78"/>
      <c r="D5" s="79"/>
      <c r="E5" s="76" t="s">
        <v>152</v>
      </c>
      <c r="F5" s="82">
        <f>'派車單--資料寫入'!B11</f>
        <v>0.4375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42.0" customHeight="1">
      <c r="A6" s="76" t="s">
        <v>159</v>
      </c>
      <c r="B6" s="83" t="str">
        <f>'派車單--資料寫入'!B13</f>
        <v>台灣積體電路製造股份有限公司</v>
      </c>
      <c r="C6" s="78"/>
      <c r="D6" s="78"/>
      <c r="E6" s="78"/>
      <c r="F6" s="79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30.0" customHeight="1">
      <c r="A7" s="84" t="s">
        <v>252</v>
      </c>
      <c r="B7" s="85" t="str">
        <f>'派車單--資料寫入'!B12</f>
        <v>台灣積體電路製造股份有限公司 AP8  台南市新市區環西路一段3號</v>
      </c>
      <c r="C7" s="86"/>
      <c r="D7" s="87"/>
      <c r="E7" s="88" t="s">
        <v>253</v>
      </c>
      <c r="F7" s="89" t="s">
        <v>254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2.0" customHeight="1">
      <c r="A8" s="90"/>
      <c r="B8" s="91"/>
      <c r="C8" s="75"/>
      <c r="D8" s="92"/>
      <c r="E8" s="93"/>
      <c r="F8" s="94" t="s">
        <v>255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21.0" customHeight="1">
      <c r="A9" s="84" t="s">
        <v>256</v>
      </c>
      <c r="B9" s="95" t="s">
        <v>257</v>
      </c>
      <c r="C9" s="86"/>
      <c r="D9" s="96" t="s">
        <v>258</v>
      </c>
      <c r="E9" s="97" t="str">
        <f>IF(COUNTIF($B6,"*1+1*"),"取回-客戶簽收人的名片"," ")</f>
        <v> </v>
      </c>
      <c r="F9" s="87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37.5" customHeight="1">
      <c r="A10" s="90"/>
      <c r="B10" s="98" t="str">
        <f>CONCATENATE('派車單--資料寫入'!$B18," ",'派車單--資料寫入'!$B19)</f>
        <v>AP8 劉韋智 #7553278</v>
      </c>
      <c r="C10" s="75"/>
      <c r="D10" s="99" t="str">
        <f>CONCATENATE('派車單--資料寫入'!$B14," ",'派車單--資料寫入'!$B15)</f>
        <v>AP8 劉韋智 #7553278</v>
      </c>
      <c r="E10" s="75"/>
      <c r="F10" s="92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27.0" customHeight="1">
      <c r="A11" s="100" t="str">
        <f>'派車單--資料寫入'!B16</f>
        <v>310cm 低板</v>
      </c>
      <c r="B11" s="84" t="s">
        <v>259</v>
      </c>
      <c r="C11" s="95"/>
      <c r="D11" s="87"/>
      <c r="E11" s="84" t="s">
        <v>260</v>
      </c>
      <c r="F11" s="101" t="s">
        <v>261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26.25" customHeight="1">
      <c r="A12" s="102" t="str">
        <f>'派車單--資料寫入'!B17</f>
        <v>共1輛</v>
      </c>
      <c r="B12" s="103" t="s">
        <v>262</v>
      </c>
      <c r="C12" s="91"/>
      <c r="D12" s="92"/>
      <c r="E12" s="90"/>
      <c r="F12" s="104">
        <f>TODAY()</f>
        <v>46212</v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24.0" customHeight="1">
      <c r="A13" s="105"/>
      <c r="B13" s="106"/>
      <c r="C13" s="106"/>
      <c r="D13" s="107"/>
      <c r="E13" s="108"/>
      <c r="F13" s="108" t="s">
        <v>263</v>
      </c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21.0" customHeight="1">
      <c r="A14" s="108"/>
      <c r="B14" s="31"/>
      <c r="C14" s="31"/>
      <c r="D14" s="31"/>
      <c r="E14" s="108"/>
      <c r="F14" s="108" t="s">
        <v>264</v>
      </c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21.0" customHeight="1">
      <c r="A15" s="108"/>
      <c r="B15" s="31"/>
      <c r="C15" s="31"/>
      <c r="D15" s="31"/>
      <c r="E15" s="108"/>
      <c r="F15" s="108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6.5" customHeight="1">
      <c r="A16" s="73" t="s">
        <v>249</v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30.0" customHeight="1">
      <c r="A17" s="74" t="s">
        <v>250</v>
      </c>
      <c r="B17" s="75"/>
      <c r="C17" s="75"/>
      <c r="D17" s="75"/>
      <c r="E17" s="75"/>
      <c r="F17" s="75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42.0" customHeight="1">
      <c r="A18" s="76" t="s">
        <v>129</v>
      </c>
      <c r="B18" s="77" t="str">
        <f>B3</f>
        <v> 55-02137</v>
      </c>
      <c r="C18" s="78"/>
      <c r="D18" s="79"/>
      <c r="E18" s="76" t="s">
        <v>251</v>
      </c>
      <c r="F18" s="80">
        <f t="shared" ref="F18:F20" si="1">F3</f>
        <v>1</v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42.0" customHeight="1">
      <c r="A19" s="76" t="s">
        <v>137</v>
      </c>
      <c r="B19" s="81">
        <f t="shared" ref="B19:B22" si="2">$B4</f>
        <v>46212</v>
      </c>
      <c r="C19" s="78"/>
      <c r="D19" s="79"/>
      <c r="E19" s="76" t="s">
        <v>140</v>
      </c>
      <c r="F19" s="82">
        <f t="shared" si="1"/>
        <v>0.7083333333</v>
      </c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42.0" customHeight="1">
      <c r="A20" s="76" t="s">
        <v>149</v>
      </c>
      <c r="B20" s="81">
        <f t="shared" si="2"/>
        <v>46213</v>
      </c>
      <c r="C20" s="78"/>
      <c r="D20" s="79"/>
      <c r="E20" s="76" t="s">
        <v>152</v>
      </c>
      <c r="F20" s="82">
        <f t="shared" si="1"/>
        <v>0.4375</v>
      </c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42.0" customHeight="1">
      <c r="A21" s="76" t="s">
        <v>159</v>
      </c>
      <c r="B21" s="83" t="str">
        <f t="shared" si="2"/>
        <v>台灣積體電路製造股份有限公司</v>
      </c>
      <c r="C21" s="78"/>
      <c r="D21" s="78"/>
      <c r="E21" s="78"/>
      <c r="F21" s="79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30.0" customHeight="1">
      <c r="A22" s="84" t="s">
        <v>252</v>
      </c>
      <c r="B22" s="85" t="str">
        <f t="shared" si="2"/>
        <v>台灣積體電路製造股份有限公司 AP8  台南市新市區環西路一段3號</v>
      </c>
      <c r="C22" s="86"/>
      <c r="D22" s="86"/>
      <c r="E22" s="88" t="s">
        <v>265</v>
      </c>
      <c r="F22" s="89" t="s">
        <v>266</v>
      </c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2.0" customHeight="1">
      <c r="A23" s="90"/>
      <c r="B23" s="91"/>
      <c r="C23" s="75"/>
      <c r="D23" s="75"/>
      <c r="E23" s="93"/>
      <c r="F23" s="109" t="str">
        <f>IF(F8=0," ",F8)</f>
        <v>(取回-客戶簽收人的名片)</v>
      </c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21.0" customHeight="1">
      <c r="A24" s="84" t="s">
        <v>256</v>
      </c>
      <c r="B24" s="95" t="s">
        <v>257</v>
      </c>
      <c r="C24" s="86"/>
      <c r="D24" s="96" t="s">
        <v>258</v>
      </c>
      <c r="E24" s="97" t="str">
        <f>E9</f>
        <v> </v>
      </c>
      <c r="F24" s="87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29.25" customHeight="1">
      <c r="A25" s="90"/>
      <c r="B25" s="98" t="str">
        <f>$B10</f>
        <v>AP8 劉韋智 #7553278</v>
      </c>
      <c r="C25" s="75"/>
      <c r="D25" s="110" t="str">
        <f>$D10</f>
        <v>AP8 劉韋智 #7553278</v>
      </c>
      <c r="E25" s="75"/>
      <c r="F25" s="92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24.0" customHeight="1">
      <c r="A26" s="100" t="str">
        <f t="shared" ref="A26:A27" si="3">A11</f>
        <v>310cm 低板</v>
      </c>
      <c r="B26" s="84" t="s">
        <v>259</v>
      </c>
      <c r="C26" s="95"/>
      <c r="D26" s="87"/>
      <c r="E26" s="84" t="s">
        <v>260</v>
      </c>
      <c r="F26" s="101" t="str">
        <f t="shared" ref="F26:F27" si="4">$F11</f>
        <v>Mei</v>
      </c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27.75" customHeight="1">
      <c r="A27" s="102" t="str">
        <f t="shared" si="3"/>
        <v>共1輛</v>
      </c>
      <c r="B27" s="103" t="s">
        <v>262</v>
      </c>
      <c r="C27" s="91"/>
      <c r="D27" s="92"/>
      <c r="E27" s="90"/>
      <c r="F27" s="104">
        <f t="shared" si="4"/>
        <v>46212</v>
      </c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24.0" customHeight="1">
      <c r="A28" s="111"/>
      <c r="B28" s="106"/>
      <c r="C28" s="106"/>
      <c r="D28" s="107"/>
      <c r="E28" s="108"/>
      <c r="F28" s="108" t="s">
        <v>267</v>
      </c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25.5" customHeight="1">
      <c r="A29" s="108"/>
      <c r="B29" s="31"/>
      <c r="C29" s="31"/>
      <c r="D29" s="31"/>
      <c r="E29" s="31"/>
      <c r="F29" s="108" t="s">
        <v>264</v>
      </c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6.5" customHeight="1">
      <c r="A30" s="108"/>
      <c r="B30" s="31"/>
      <c r="C30" s="31"/>
      <c r="D30" s="31"/>
      <c r="E30" s="31"/>
      <c r="F30" s="108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6.5" customHeight="1">
      <c r="A31" s="108"/>
      <c r="B31" s="31"/>
      <c r="C31" s="31"/>
      <c r="D31" s="31"/>
      <c r="E31" s="31"/>
      <c r="F31" s="108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6.5" customHeight="1">
      <c r="A32" s="108"/>
      <c r="B32" s="31"/>
      <c r="C32" s="31"/>
      <c r="D32" s="31"/>
      <c r="E32" s="31"/>
      <c r="F32" s="108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6.5" customHeight="1">
      <c r="A33" s="108"/>
      <c r="B33" s="31"/>
      <c r="C33" s="31"/>
      <c r="D33" s="31"/>
      <c r="E33" s="31"/>
      <c r="F33" s="108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6.5" customHeight="1">
      <c r="A34" s="108"/>
      <c r="B34" s="31"/>
      <c r="C34" s="31"/>
      <c r="D34" s="31"/>
      <c r="E34" s="31"/>
      <c r="F34" s="108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6.5" customHeight="1">
      <c r="A35" s="108"/>
      <c r="B35" s="31"/>
      <c r="C35" s="31"/>
      <c r="D35" s="31"/>
      <c r="E35" s="31"/>
      <c r="F35" s="108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6.5" customHeight="1">
      <c r="A36" s="108"/>
      <c r="B36" s="31"/>
      <c r="C36" s="31"/>
      <c r="D36" s="31"/>
      <c r="E36" s="31"/>
      <c r="F36" s="108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6.5" customHeight="1">
      <c r="A37" s="108"/>
      <c r="B37" s="31"/>
      <c r="C37" s="31"/>
      <c r="D37" s="31"/>
      <c r="E37" s="31"/>
      <c r="F37" s="108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6.5" customHeight="1">
      <c r="A38" s="108"/>
      <c r="B38" s="31"/>
      <c r="C38" s="31"/>
      <c r="D38" s="31"/>
      <c r="E38" s="31"/>
      <c r="F38" s="108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6.5" customHeight="1">
      <c r="A39" s="108"/>
      <c r="B39" s="31"/>
      <c r="C39" s="31"/>
      <c r="D39" s="31"/>
      <c r="E39" s="31"/>
      <c r="F39" s="108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6.5" customHeight="1">
      <c r="A40" s="108"/>
      <c r="B40" s="31"/>
      <c r="C40" s="31"/>
      <c r="D40" s="31"/>
      <c r="E40" s="31"/>
      <c r="F40" s="108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6.5" customHeight="1">
      <c r="A41" s="108"/>
      <c r="B41" s="31"/>
      <c r="C41" s="31"/>
      <c r="D41" s="31"/>
      <c r="E41" s="31"/>
      <c r="F41" s="108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6.5" customHeight="1">
      <c r="A42" s="108"/>
      <c r="B42" s="31"/>
      <c r="C42" s="31"/>
      <c r="D42" s="31"/>
      <c r="E42" s="31"/>
      <c r="F42" s="108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6.5" customHeight="1">
      <c r="A43" s="108"/>
      <c r="B43" s="31"/>
      <c r="C43" s="31"/>
      <c r="D43" s="31"/>
      <c r="E43" s="31"/>
      <c r="F43" s="108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6.5" customHeight="1">
      <c r="A44" s="108"/>
      <c r="B44" s="31"/>
      <c r="C44" s="31"/>
      <c r="D44" s="31"/>
      <c r="E44" s="31"/>
      <c r="F44" s="108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6.5" customHeight="1">
      <c r="A45" s="108"/>
      <c r="B45" s="31"/>
      <c r="C45" s="31"/>
      <c r="D45" s="31"/>
      <c r="E45" s="31"/>
      <c r="F45" s="108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6.5" customHeight="1">
      <c r="A46" s="108"/>
      <c r="B46" s="31"/>
      <c r="C46" s="31"/>
      <c r="D46" s="31"/>
      <c r="E46" s="31"/>
      <c r="F46" s="108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6.5" customHeight="1">
      <c r="A47" s="108"/>
      <c r="B47" s="31"/>
      <c r="C47" s="31"/>
      <c r="D47" s="31"/>
      <c r="E47" s="31"/>
      <c r="F47" s="108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6.5" customHeight="1">
      <c r="A48" s="108"/>
      <c r="B48" s="31"/>
      <c r="C48" s="31"/>
      <c r="D48" s="31"/>
      <c r="E48" s="31"/>
      <c r="F48" s="108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6.5" customHeight="1">
      <c r="A49" s="108"/>
      <c r="B49" s="31"/>
      <c r="C49" s="31"/>
      <c r="D49" s="31"/>
      <c r="E49" s="31"/>
      <c r="F49" s="108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6.5" customHeight="1">
      <c r="A50" s="108"/>
      <c r="B50" s="31"/>
      <c r="C50" s="31"/>
      <c r="D50" s="31"/>
      <c r="E50" s="31"/>
      <c r="F50" s="108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6.5" customHeight="1">
      <c r="A51" s="108"/>
      <c r="B51" s="31"/>
      <c r="C51" s="31"/>
      <c r="D51" s="31"/>
      <c r="E51" s="31"/>
      <c r="F51" s="108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6.5" customHeight="1">
      <c r="A52" s="108"/>
      <c r="B52" s="31"/>
      <c r="C52" s="31"/>
      <c r="D52" s="31"/>
      <c r="E52" s="31"/>
      <c r="F52" s="108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6.5" customHeight="1">
      <c r="A53" s="108"/>
      <c r="B53" s="31"/>
      <c r="C53" s="31"/>
      <c r="D53" s="31"/>
      <c r="E53" s="31"/>
      <c r="F53" s="108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6.5" customHeight="1">
      <c r="A54" s="108"/>
      <c r="B54" s="31"/>
      <c r="C54" s="31"/>
      <c r="D54" s="31"/>
      <c r="E54" s="31"/>
      <c r="F54" s="108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6.5" customHeight="1">
      <c r="A55" s="108"/>
      <c r="B55" s="31"/>
      <c r="C55" s="31"/>
      <c r="D55" s="31"/>
      <c r="E55" s="31"/>
      <c r="F55" s="108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6.5" customHeight="1">
      <c r="A56" s="108"/>
      <c r="B56" s="31"/>
      <c r="C56" s="31"/>
      <c r="D56" s="31"/>
      <c r="E56" s="31"/>
      <c r="F56" s="108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6.5" customHeight="1">
      <c r="A57" s="108"/>
      <c r="B57" s="31"/>
      <c r="C57" s="31"/>
      <c r="D57" s="31"/>
      <c r="E57" s="31"/>
      <c r="F57" s="108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6.5" customHeight="1">
      <c r="A58" s="108"/>
      <c r="B58" s="31"/>
      <c r="C58" s="31"/>
      <c r="D58" s="31"/>
      <c r="E58" s="31"/>
      <c r="F58" s="108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6.5" customHeight="1">
      <c r="A59" s="108"/>
      <c r="B59" s="31"/>
      <c r="C59" s="31"/>
      <c r="D59" s="31"/>
      <c r="E59" s="31"/>
      <c r="F59" s="108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6.5" customHeight="1">
      <c r="A60" s="108"/>
      <c r="B60" s="31"/>
      <c r="C60" s="31"/>
      <c r="D60" s="31"/>
      <c r="E60" s="31"/>
      <c r="F60" s="108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6.5" customHeight="1">
      <c r="A61" s="108"/>
      <c r="B61" s="31"/>
      <c r="C61" s="31"/>
      <c r="D61" s="31"/>
      <c r="E61" s="31"/>
      <c r="F61" s="108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6.5" customHeight="1">
      <c r="A62" s="108"/>
      <c r="B62" s="31"/>
      <c r="C62" s="31"/>
      <c r="D62" s="31"/>
      <c r="E62" s="31"/>
      <c r="F62" s="108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6.5" customHeight="1">
      <c r="A63" s="108"/>
      <c r="B63" s="31"/>
      <c r="C63" s="31"/>
      <c r="D63" s="31"/>
      <c r="E63" s="31"/>
      <c r="F63" s="108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6.5" customHeight="1">
      <c r="A64" s="108"/>
      <c r="B64" s="31"/>
      <c r="C64" s="31"/>
      <c r="D64" s="31"/>
      <c r="E64" s="31"/>
      <c r="F64" s="108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6.5" customHeight="1">
      <c r="A65" s="108"/>
      <c r="B65" s="31"/>
      <c r="C65" s="31"/>
      <c r="D65" s="31"/>
      <c r="E65" s="31"/>
      <c r="F65" s="108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6.5" customHeight="1">
      <c r="A66" s="108"/>
      <c r="B66" s="31"/>
      <c r="C66" s="31"/>
      <c r="D66" s="31"/>
      <c r="E66" s="31"/>
      <c r="F66" s="108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6.5" customHeight="1">
      <c r="A67" s="108"/>
      <c r="B67" s="31"/>
      <c r="C67" s="31"/>
      <c r="D67" s="31"/>
      <c r="E67" s="31"/>
      <c r="F67" s="108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6.5" customHeight="1">
      <c r="A68" s="108"/>
      <c r="B68" s="31"/>
      <c r="C68" s="31"/>
      <c r="D68" s="31"/>
      <c r="E68" s="31"/>
      <c r="F68" s="108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6.5" customHeight="1">
      <c r="A69" s="108"/>
      <c r="B69" s="31"/>
      <c r="C69" s="31"/>
      <c r="D69" s="31"/>
      <c r="E69" s="31"/>
      <c r="F69" s="108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6.5" customHeight="1">
      <c r="A70" s="108"/>
      <c r="B70" s="31"/>
      <c r="C70" s="31"/>
      <c r="D70" s="31"/>
      <c r="E70" s="31"/>
      <c r="F70" s="108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6.5" customHeight="1">
      <c r="A71" s="108"/>
      <c r="B71" s="31"/>
      <c r="C71" s="31"/>
      <c r="D71" s="31"/>
      <c r="E71" s="31"/>
      <c r="F71" s="108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6.5" customHeight="1">
      <c r="A72" s="108"/>
      <c r="B72" s="31"/>
      <c r="C72" s="31"/>
      <c r="D72" s="31"/>
      <c r="E72" s="31"/>
      <c r="F72" s="108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6.5" customHeight="1">
      <c r="A73" s="108"/>
      <c r="B73" s="31"/>
      <c r="C73" s="31"/>
      <c r="D73" s="31"/>
      <c r="E73" s="31"/>
      <c r="F73" s="108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6.5" customHeight="1">
      <c r="A74" s="108"/>
      <c r="B74" s="31"/>
      <c r="C74" s="31"/>
      <c r="D74" s="31"/>
      <c r="E74" s="31"/>
      <c r="F74" s="108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6.5" customHeight="1">
      <c r="A75" s="108"/>
      <c r="B75" s="31"/>
      <c r="C75" s="31"/>
      <c r="D75" s="31"/>
      <c r="E75" s="31"/>
      <c r="F75" s="108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6.5" customHeight="1">
      <c r="A76" s="108"/>
      <c r="B76" s="31"/>
      <c r="C76" s="31"/>
      <c r="D76" s="31"/>
      <c r="E76" s="31"/>
      <c r="F76" s="108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6.5" customHeight="1">
      <c r="A77" s="108"/>
      <c r="B77" s="31"/>
      <c r="C77" s="31"/>
      <c r="D77" s="31"/>
      <c r="E77" s="31"/>
      <c r="F77" s="108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6.5" customHeight="1">
      <c r="A78" s="108"/>
      <c r="B78" s="31"/>
      <c r="C78" s="31"/>
      <c r="D78" s="31"/>
      <c r="E78" s="31"/>
      <c r="F78" s="108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6.5" customHeight="1">
      <c r="A79" s="108"/>
      <c r="B79" s="31"/>
      <c r="C79" s="31"/>
      <c r="D79" s="31"/>
      <c r="E79" s="31"/>
      <c r="F79" s="108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6.5" customHeight="1">
      <c r="A80" s="108"/>
      <c r="B80" s="31"/>
      <c r="C80" s="31"/>
      <c r="D80" s="31"/>
      <c r="E80" s="31"/>
      <c r="F80" s="108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6.5" customHeight="1">
      <c r="A81" s="108"/>
      <c r="B81" s="31"/>
      <c r="C81" s="31"/>
      <c r="D81" s="31"/>
      <c r="E81" s="31"/>
      <c r="F81" s="108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6.5" customHeight="1">
      <c r="A82" s="108"/>
      <c r="B82" s="31"/>
      <c r="C82" s="31"/>
      <c r="D82" s="31"/>
      <c r="E82" s="31"/>
      <c r="F82" s="108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6.5" customHeight="1">
      <c r="A83" s="108"/>
      <c r="B83" s="31"/>
      <c r="C83" s="31"/>
      <c r="D83" s="31"/>
      <c r="E83" s="31"/>
      <c r="F83" s="108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6.5" customHeight="1">
      <c r="A84" s="108"/>
      <c r="B84" s="31"/>
      <c r="C84" s="31"/>
      <c r="D84" s="31"/>
      <c r="E84" s="31"/>
      <c r="F84" s="108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6.5" customHeight="1">
      <c r="A85" s="108"/>
      <c r="B85" s="31"/>
      <c r="C85" s="31"/>
      <c r="D85" s="31"/>
      <c r="E85" s="31"/>
      <c r="F85" s="108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6.5" customHeight="1">
      <c r="A86" s="108"/>
      <c r="B86" s="31"/>
      <c r="C86" s="31"/>
      <c r="D86" s="31"/>
      <c r="E86" s="31"/>
      <c r="F86" s="108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6.5" customHeight="1">
      <c r="A87" s="108"/>
      <c r="B87" s="31"/>
      <c r="C87" s="31"/>
      <c r="D87" s="31"/>
      <c r="E87" s="31"/>
      <c r="F87" s="108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6.5" customHeight="1">
      <c r="A88" s="108"/>
      <c r="B88" s="31"/>
      <c r="C88" s="31"/>
      <c r="D88" s="31"/>
      <c r="E88" s="31"/>
      <c r="F88" s="108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6.5" customHeight="1">
      <c r="A89" s="108"/>
      <c r="B89" s="31"/>
      <c r="C89" s="31"/>
      <c r="D89" s="31"/>
      <c r="E89" s="31"/>
      <c r="F89" s="108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6.5" customHeight="1">
      <c r="A90" s="108"/>
      <c r="B90" s="31"/>
      <c r="C90" s="31"/>
      <c r="D90" s="31"/>
      <c r="E90" s="31"/>
      <c r="F90" s="108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6.5" customHeight="1">
      <c r="A91" s="108"/>
      <c r="B91" s="31"/>
      <c r="C91" s="31"/>
      <c r="D91" s="31"/>
      <c r="E91" s="31"/>
      <c r="F91" s="108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6.5" customHeight="1">
      <c r="A92" s="108"/>
      <c r="B92" s="31"/>
      <c r="C92" s="31"/>
      <c r="D92" s="31"/>
      <c r="E92" s="31"/>
      <c r="F92" s="108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6.5" customHeight="1">
      <c r="A93" s="108"/>
      <c r="B93" s="31"/>
      <c r="C93" s="31"/>
      <c r="D93" s="31"/>
      <c r="E93" s="31"/>
      <c r="F93" s="108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6.5" customHeight="1">
      <c r="A94" s="108"/>
      <c r="B94" s="31"/>
      <c r="C94" s="31"/>
      <c r="D94" s="31"/>
      <c r="E94" s="31"/>
      <c r="F94" s="108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6.5" customHeight="1">
      <c r="A95" s="108"/>
      <c r="B95" s="31"/>
      <c r="C95" s="31"/>
      <c r="D95" s="31"/>
      <c r="E95" s="31"/>
      <c r="F95" s="108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6.5" customHeight="1">
      <c r="A96" s="108"/>
      <c r="B96" s="31"/>
      <c r="C96" s="31"/>
      <c r="D96" s="31"/>
      <c r="E96" s="31"/>
      <c r="F96" s="108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6.5" customHeight="1">
      <c r="A97" s="108"/>
      <c r="B97" s="31"/>
      <c r="C97" s="31"/>
      <c r="D97" s="31"/>
      <c r="E97" s="31"/>
      <c r="F97" s="108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6.5" customHeight="1">
      <c r="A98" s="108"/>
      <c r="B98" s="31"/>
      <c r="C98" s="31"/>
      <c r="D98" s="31"/>
      <c r="E98" s="31"/>
      <c r="F98" s="108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6.5" customHeight="1">
      <c r="A99" s="108"/>
      <c r="B99" s="31"/>
      <c r="C99" s="31"/>
      <c r="D99" s="31"/>
      <c r="E99" s="31"/>
      <c r="F99" s="108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6.5" customHeight="1">
      <c r="A100" s="108"/>
      <c r="B100" s="31"/>
      <c r="C100" s="31"/>
      <c r="D100" s="31"/>
      <c r="E100" s="31"/>
      <c r="F100" s="108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6.5" customHeight="1">
      <c r="A101" s="108"/>
      <c r="B101" s="31"/>
      <c r="C101" s="31"/>
      <c r="D101" s="31"/>
      <c r="E101" s="31"/>
      <c r="F101" s="108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6.5" customHeight="1">
      <c r="A102" s="108"/>
      <c r="B102" s="31"/>
      <c r="C102" s="31"/>
      <c r="D102" s="31"/>
      <c r="E102" s="31"/>
      <c r="F102" s="108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6.5" customHeight="1">
      <c r="A103" s="108"/>
      <c r="B103" s="31"/>
      <c r="C103" s="31"/>
      <c r="D103" s="31"/>
      <c r="E103" s="31"/>
      <c r="F103" s="108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6.5" customHeight="1">
      <c r="A104" s="108"/>
      <c r="B104" s="31"/>
      <c r="C104" s="31"/>
      <c r="D104" s="31"/>
      <c r="E104" s="31"/>
      <c r="F104" s="108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6.5" customHeight="1">
      <c r="A105" s="108"/>
      <c r="B105" s="31"/>
      <c r="C105" s="31"/>
      <c r="D105" s="31"/>
      <c r="E105" s="31"/>
      <c r="F105" s="108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6.5" customHeight="1">
      <c r="A106" s="108"/>
      <c r="B106" s="31"/>
      <c r="C106" s="31"/>
      <c r="D106" s="31"/>
      <c r="E106" s="31"/>
      <c r="F106" s="108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6.5" customHeight="1">
      <c r="A107" s="108"/>
      <c r="B107" s="31"/>
      <c r="C107" s="31"/>
      <c r="D107" s="31"/>
      <c r="E107" s="31"/>
      <c r="F107" s="108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6.5" customHeight="1">
      <c r="A108" s="108"/>
      <c r="B108" s="31"/>
      <c r="C108" s="31"/>
      <c r="D108" s="31"/>
      <c r="E108" s="31"/>
      <c r="F108" s="108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6.5" customHeight="1">
      <c r="A109" s="108"/>
      <c r="B109" s="31"/>
      <c r="C109" s="31"/>
      <c r="D109" s="31"/>
      <c r="E109" s="31"/>
      <c r="F109" s="108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6.5" customHeight="1">
      <c r="A110" s="108"/>
      <c r="B110" s="31"/>
      <c r="C110" s="31"/>
      <c r="D110" s="31"/>
      <c r="E110" s="31"/>
      <c r="F110" s="108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6.5" customHeight="1">
      <c r="A111" s="108"/>
      <c r="B111" s="31"/>
      <c r="C111" s="31"/>
      <c r="D111" s="31"/>
      <c r="E111" s="31"/>
      <c r="F111" s="108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6.5" customHeight="1">
      <c r="A112" s="108"/>
      <c r="B112" s="31"/>
      <c r="C112" s="31"/>
      <c r="D112" s="31"/>
      <c r="E112" s="31"/>
      <c r="F112" s="108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6.5" customHeight="1">
      <c r="A113" s="108"/>
      <c r="B113" s="31"/>
      <c r="C113" s="31"/>
      <c r="D113" s="31"/>
      <c r="E113" s="31"/>
      <c r="F113" s="108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6.5" customHeight="1">
      <c r="A114" s="108"/>
      <c r="B114" s="31"/>
      <c r="C114" s="31"/>
      <c r="D114" s="31"/>
      <c r="E114" s="31"/>
      <c r="F114" s="108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6.5" customHeight="1">
      <c r="A115" s="108"/>
      <c r="B115" s="31"/>
      <c r="C115" s="31"/>
      <c r="D115" s="31"/>
      <c r="E115" s="31"/>
      <c r="F115" s="108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6.5" customHeight="1">
      <c r="A116" s="108"/>
      <c r="B116" s="31"/>
      <c r="C116" s="31"/>
      <c r="D116" s="31"/>
      <c r="E116" s="31"/>
      <c r="F116" s="108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6.5" customHeight="1">
      <c r="A117" s="108"/>
      <c r="B117" s="31"/>
      <c r="C117" s="31"/>
      <c r="D117" s="31"/>
      <c r="E117" s="31"/>
      <c r="F117" s="108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6.5" customHeight="1">
      <c r="A118" s="108"/>
      <c r="B118" s="31"/>
      <c r="C118" s="31"/>
      <c r="D118" s="31"/>
      <c r="E118" s="31"/>
      <c r="F118" s="108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6.5" customHeight="1">
      <c r="A119" s="108"/>
      <c r="B119" s="31"/>
      <c r="C119" s="31"/>
      <c r="D119" s="31"/>
      <c r="E119" s="31"/>
      <c r="F119" s="108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6.5" customHeight="1">
      <c r="A120" s="108"/>
      <c r="B120" s="31"/>
      <c r="C120" s="31"/>
      <c r="D120" s="31"/>
      <c r="E120" s="31"/>
      <c r="F120" s="108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6.5" customHeight="1">
      <c r="A121" s="108"/>
      <c r="B121" s="31"/>
      <c r="C121" s="31"/>
      <c r="D121" s="31"/>
      <c r="E121" s="31"/>
      <c r="F121" s="108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6.5" customHeight="1">
      <c r="A122" s="108"/>
      <c r="B122" s="31"/>
      <c r="C122" s="31"/>
      <c r="D122" s="31"/>
      <c r="E122" s="31"/>
      <c r="F122" s="108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6.5" customHeight="1">
      <c r="A123" s="108"/>
      <c r="B123" s="31"/>
      <c r="C123" s="31"/>
      <c r="D123" s="31"/>
      <c r="E123" s="31"/>
      <c r="F123" s="108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6.5" customHeight="1">
      <c r="A124" s="108"/>
      <c r="B124" s="31"/>
      <c r="C124" s="31"/>
      <c r="D124" s="31"/>
      <c r="E124" s="31"/>
      <c r="F124" s="108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6.5" customHeight="1">
      <c r="A125" s="108"/>
      <c r="B125" s="31"/>
      <c r="C125" s="31"/>
      <c r="D125" s="31"/>
      <c r="E125" s="31"/>
      <c r="F125" s="108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6.5" customHeight="1">
      <c r="A126" s="108"/>
      <c r="B126" s="31"/>
      <c r="C126" s="31"/>
      <c r="D126" s="31"/>
      <c r="E126" s="31"/>
      <c r="F126" s="108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6.5" customHeight="1">
      <c r="A127" s="108"/>
      <c r="B127" s="31"/>
      <c r="C127" s="31"/>
      <c r="D127" s="31"/>
      <c r="E127" s="31"/>
      <c r="F127" s="108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6.5" customHeight="1">
      <c r="A128" s="108"/>
      <c r="B128" s="31"/>
      <c r="C128" s="31"/>
      <c r="D128" s="31"/>
      <c r="E128" s="31"/>
      <c r="F128" s="108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6.5" customHeight="1">
      <c r="A129" s="108"/>
      <c r="B129" s="31"/>
      <c r="C129" s="31"/>
      <c r="D129" s="31"/>
      <c r="E129" s="31"/>
      <c r="F129" s="108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6.5" customHeight="1">
      <c r="A130" s="108"/>
      <c r="B130" s="31"/>
      <c r="C130" s="31"/>
      <c r="D130" s="31"/>
      <c r="E130" s="31"/>
      <c r="F130" s="108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6.5" customHeight="1">
      <c r="A131" s="108"/>
      <c r="B131" s="31"/>
      <c r="C131" s="31"/>
      <c r="D131" s="31"/>
      <c r="E131" s="31"/>
      <c r="F131" s="108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6.5" customHeight="1">
      <c r="A132" s="108"/>
      <c r="B132" s="31"/>
      <c r="C132" s="31"/>
      <c r="D132" s="31"/>
      <c r="E132" s="31"/>
      <c r="F132" s="108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6.5" customHeight="1">
      <c r="A133" s="108"/>
      <c r="B133" s="31"/>
      <c r="C133" s="31"/>
      <c r="D133" s="31"/>
      <c r="E133" s="31"/>
      <c r="F133" s="108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6.5" customHeight="1">
      <c r="A134" s="108"/>
      <c r="B134" s="31"/>
      <c r="C134" s="31"/>
      <c r="D134" s="31"/>
      <c r="E134" s="31"/>
      <c r="F134" s="108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6.5" customHeight="1">
      <c r="A135" s="108"/>
      <c r="B135" s="31"/>
      <c r="C135" s="31"/>
      <c r="D135" s="31"/>
      <c r="E135" s="31"/>
      <c r="F135" s="108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6.5" customHeight="1">
      <c r="A136" s="108"/>
      <c r="B136" s="31"/>
      <c r="C136" s="31"/>
      <c r="D136" s="31"/>
      <c r="E136" s="31"/>
      <c r="F136" s="108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6.5" customHeight="1">
      <c r="A137" s="108"/>
      <c r="B137" s="31"/>
      <c r="C137" s="31"/>
      <c r="D137" s="31"/>
      <c r="E137" s="31"/>
      <c r="F137" s="108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6.5" customHeight="1">
      <c r="A138" s="108"/>
      <c r="B138" s="31"/>
      <c r="C138" s="31"/>
      <c r="D138" s="31"/>
      <c r="E138" s="31"/>
      <c r="F138" s="108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6.5" customHeight="1">
      <c r="A139" s="108"/>
      <c r="B139" s="31"/>
      <c r="C139" s="31"/>
      <c r="D139" s="31"/>
      <c r="E139" s="31"/>
      <c r="F139" s="108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6.5" customHeight="1">
      <c r="A140" s="108"/>
      <c r="B140" s="31"/>
      <c r="C140" s="31"/>
      <c r="D140" s="31"/>
      <c r="E140" s="31"/>
      <c r="F140" s="108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6.5" customHeight="1">
      <c r="A141" s="108"/>
      <c r="B141" s="31"/>
      <c r="C141" s="31"/>
      <c r="D141" s="31"/>
      <c r="E141" s="31"/>
      <c r="F141" s="108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6.5" customHeight="1">
      <c r="A142" s="108"/>
      <c r="B142" s="31"/>
      <c r="C142" s="31"/>
      <c r="D142" s="31"/>
      <c r="E142" s="31"/>
      <c r="F142" s="108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6.5" customHeight="1">
      <c r="A143" s="108"/>
      <c r="B143" s="31"/>
      <c r="C143" s="31"/>
      <c r="D143" s="31"/>
      <c r="E143" s="31"/>
      <c r="F143" s="108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6.5" customHeight="1">
      <c r="A144" s="108"/>
      <c r="B144" s="31"/>
      <c r="C144" s="31"/>
      <c r="D144" s="31"/>
      <c r="E144" s="31"/>
      <c r="F144" s="108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6.5" customHeight="1">
      <c r="A145" s="108"/>
      <c r="B145" s="31"/>
      <c r="C145" s="31"/>
      <c r="D145" s="31"/>
      <c r="E145" s="31"/>
      <c r="F145" s="108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6.5" customHeight="1">
      <c r="A146" s="108"/>
      <c r="B146" s="31"/>
      <c r="C146" s="31"/>
      <c r="D146" s="31"/>
      <c r="E146" s="31"/>
      <c r="F146" s="108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6.5" customHeight="1">
      <c r="A147" s="108"/>
      <c r="B147" s="31"/>
      <c r="C147" s="31"/>
      <c r="D147" s="31"/>
      <c r="E147" s="31"/>
      <c r="F147" s="108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6.5" customHeight="1">
      <c r="A148" s="108"/>
      <c r="B148" s="31"/>
      <c r="C148" s="31"/>
      <c r="D148" s="31"/>
      <c r="E148" s="31"/>
      <c r="F148" s="108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6.5" customHeight="1">
      <c r="A149" s="108"/>
      <c r="B149" s="31"/>
      <c r="C149" s="31"/>
      <c r="D149" s="31"/>
      <c r="E149" s="31"/>
      <c r="F149" s="108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6.5" customHeight="1">
      <c r="A150" s="108"/>
      <c r="B150" s="31"/>
      <c r="C150" s="31"/>
      <c r="D150" s="31"/>
      <c r="E150" s="31"/>
      <c r="F150" s="108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6.5" customHeight="1">
      <c r="A151" s="108"/>
      <c r="B151" s="31"/>
      <c r="C151" s="31"/>
      <c r="D151" s="31"/>
      <c r="E151" s="31"/>
      <c r="F151" s="108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6.5" customHeight="1">
      <c r="A152" s="108"/>
      <c r="B152" s="31"/>
      <c r="C152" s="31"/>
      <c r="D152" s="31"/>
      <c r="E152" s="31"/>
      <c r="F152" s="108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6.5" customHeight="1">
      <c r="A153" s="108"/>
      <c r="B153" s="31"/>
      <c r="C153" s="31"/>
      <c r="D153" s="31"/>
      <c r="E153" s="31"/>
      <c r="F153" s="108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6.5" customHeight="1">
      <c r="A154" s="108"/>
      <c r="B154" s="31"/>
      <c r="C154" s="31"/>
      <c r="D154" s="31"/>
      <c r="E154" s="31"/>
      <c r="F154" s="108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6.5" customHeight="1">
      <c r="A155" s="108"/>
      <c r="B155" s="31"/>
      <c r="C155" s="31"/>
      <c r="D155" s="31"/>
      <c r="E155" s="31"/>
      <c r="F155" s="108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6.5" customHeight="1">
      <c r="A156" s="108"/>
      <c r="B156" s="31"/>
      <c r="C156" s="31"/>
      <c r="D156" s="31"/>
      <c r="E156" s="31"/>
      <c r="F156" s="108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6.5" customHeight="1">
      <c r="A157" s="108"/>
      <c r="B157" s="31"/>
      <c r="C157" s="31"/>
      <c r="D157" s="31"/>
      <c r="E157" s="31"/>
      <c r="F157" s="108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6.5" customHeight="1">
      <c r="A158" s="108"/>
      <c r="B158" s="31"/>
      <c r="C158" s="31"/>
      <c r="D158" s="31"/>
      <c r="E158" s="31"/>
      <c r="F158" s="108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6.5" customHeight="1">
      <c r="A159" s="108"/>
      <c r="B159" s="31"/>
      <c r="C159" s="31"/>
      <c r="D159" s="31"/>
      <c r="E159" s="31"/>
      <c r="F159" s="108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6.5" customHeight="1">
      <c r="A160" s="108"/>
      <c r="B160" s="31"/>
      <c r="C160" s="31"/>
      <c r="D160" s="31"/>
      <c r="E160" s="31"/>
      <c r="F160" s="108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6.5" customHeight="1">
      <c r="A161" s="108"/>
      <c r="B161" s="31"/>
      <c r="C161" s="31"/>
      <c r="D161" s="31"/>
      <c r="E161" s="31"/>
      <c r="F161" s="108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6.5" customHeight="1">
      <c r="A162" s="108"/>
      <c r="B162" s="31"/>
      <c r="C162" s="31"/>
      <c r="D162" s="31"/>
      <c r="E162" s="31"/>
      <c r="F162" s="108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6.5" customHeight="1">
      <c r="A163" s="108"/>
      <c r="B163" s="31"/>
      <c r="C163" s="31"/>
      <c r="D163" s="31"/>
      <c r="E163" s="31"/>
      <c r="F163" s="108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6.5" customHeight="1">
      <c r="A164" s="108"/>
      <c r="B164" s="31"/>
      <c r="C164" s="31"/>
      <c r="D164" s="31"/>
      <c r="E164" s="31"/>
      <c r="F164" s="108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6.5" customHeight="1">
      <c r="A165" s="108"/>
      <c r="B165" s="31"/>
      <c r="C165" s="31"/>
      <c r="D165" s="31"/>
      <c r="E165" s="31"/>
      <c r="F165" s="108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6.5" customHeight="1">
      <c r="A166" s="108"/>
      <c r="B166" s="31"/>
      <c r="C166" s="31"/>
      <c r="D166" s="31"/>
      <c r="E166" s="31"/>
      <c r="F166" s="108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6.5" customHeight="1">
      <c r="A167" s="108"/>
      <c r="B167" s="31"/>
      <c r="C167" s="31"/>
      <c r="D167" s="31"/>
      <c r="E167" s="31"/>
      <c r="F167" s="108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6.5" customHeight="1">
      <c r="A168" s="108"/>
      <c r="B168" s="31"/>
      <c r="C168" s="31"/>
      <c r="D168" s="31"/>
      <c r="E168" s="31"/>
      <c r="F168" s="108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6.5" customHeight="1">
      <c r="A169" s="108"/>
      <c r="B169" s="31"/>
      <c r="C169" s="31"/>
      <c r="D169" s="31"/>
      <c r="E169" s="31"/>
      <c r="F169" s="108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6.5" customHeight="1">
      <c r="A170" s="108"/>
      <c r="B170" s="31"/>
      <c r="C170" s="31"/>
      <c r="D170" s="31"/>
      <c r="E170" s="31"/>
      <c r="F170" s="108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6.5" customHeight="1">
      <c r="A171" s="108"/>
      <c r="B171" s="31"/>
      <c r="C171" s="31"/>
      <c r="D171" s="31"/>
      <c r="E171" s="31"/>
      <c r="F171" s="108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6.5" customHeight="1">
      <c r="A172" s="108"/>
      <c r="B172" s="31"/>
      <c r="C172" s="31"/>
      <c r="D172" s="31"/>
      <c r="E172" s="31"/>
      <c r="F172" s="108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6.5" customHeight="1">
      <c r="A173" s="108"/>
      <c r="B173" s="31"/>
      <c r="C173" s="31"/>
      <c r="D173" s="31"/>
      <c r="E173" s="31"/>
      <c r="F173" s="108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6.5" customHeight="1">
      <c r="A174" s="108"/>
      <c r="B174" s="31"/>
      <c r="C174" s="31"/>
      <c r="D174" s="31"/>
      <c r="E174" s="31"/>
      <c r="F174" s="108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6.5" customHeight="1">
      <c r="A175" s="108"/>
      <c r="B175" s="31"/>
      <c r="C175" s="31"/>
      <c r="D175" s="31"/>
      <c r="E175" s="31"/>
      <c r="F175" s="108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6.5" customHeight="1">
      <c r="A176" s="108"/>
      <c r="B176" s="31"/>
      <c r="C176" s="31"/>
      <c r="D176" s="31"/>
      <c r="E176" s="31"/>
      <c r="F176" s="108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6.5" customHeight="1">
      <c r="A177" s="108"/>
      <c r="B177" s="31"/>
      <c r="C177" s="31"/>
      <c r="D177" s="31"/>
      <c r="E177" s="31"/>
      <c r="F177" s="108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6.5" customHeight="1">
      <c r="A178" s="108"/>
      <c r="B178" s="31"/>
      <c r="C178" s="31"/>
      <c r="D178" s="31"/>
      <c r="E178" s="31"/>
      <c r="F178" s="108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6.5" customHeight="1">
      <c r="A179" s="108"/>
      <c r="B179" s="31"/>
      <c r="C179" s="31"/>
      <c r="D179" s="31"/>
      <c r="E179" s="31"/>
      <c r="F179" s="108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6.5" customHeight="1">
      <c r="A180" s="108"/>
      <c r="B180" s="31"/>
      <c r="C180" s="31"/>
      <c r="D180" s="31"/>
      <c r="E180" s="31"/>
      <c r="F180" s="108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6.5" customHeight="1">
      <c r="A181" s="108"/>
      <c r="B181" s="31"/>
      <c r="C181" s="31"/>
      <c r="D181" s="31"/>
      <c r="E181" s="31"/>
      <c r="F181" s="108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6.5" customHeight="1">
      <c r="A182" s="108"/>
      <c r="B182" s="31"/>
      <c r="C182" s="31"/>
      <c r="D182" s="31"/>
      <c r="E182" s="31"/>
      <c r="F182" s="108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6.5" customHeight="1">
      <c r="A183" s="108"/>
      <c r="B183" s="31"/>
      <c r="C183" s="31"/>
      <c r="D183" s="31"/>
      <c r="E183" s="31"/>
      <c r="F183" s="108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6.5" customHeight="1">
      <c r="A184" s="108"/>
      <c r="B184" s="31"/>
      <c r="C184" s="31"/>
      <c r="D184" s="31"/>
      <c r="E184" s="31"/>
      <c r="F184" s="108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6.5" customHeight="1">
      <c r="A185" s="108"/>
      <c r="B185" s="31"/>
      <c r="C185" s="31"/>
      <c r="D185" s="31"/>
      <c r="E185" s="31"/>
      <c r="F185" s="108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6.5" customHeight="1">
      <c r="A186" s="108"/>
      <c r="B186" s="31"/>
      <c r="C186" s="31"/>
      <c r="D186" s="31"/>
      <c r="E186" s="31"/>
      <c r="F186" s="108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6.5" customHeight="1">
      <c r="A187" s="108"/>
      <c r="B187" s="31"/>
      <c r="C187" s="31"/>
      <c r="D187" s="31"/>
      <c r="E187" s="31"/>
      <c r="F187" s="108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6.5" customHeight="1">
      <c r="A188" s="108"/>
      <c r="B188" s="31"/>
      <c r="C188" s="31"/>
      <c r="D188" s="31"/>
      <c r="E188" s="31"/>
      <c r="F188" s="108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6.5" customHeight="1">
      <c r="A189" s="108"/>
      <c r="B189" s="31"/>
      <c r="C189" s="31"/>
      <c r="D189" s="31"/>
      <c r="E189" s="31"/>
      <c r="F189" s="108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6.5" customHeight="1">
      <c r="A190" s="108"/>
      <c r="B190" s="31"/>
      <c r="C190" s="31"/>
      <c r="D190" s="31"/>
      <c r="E190" s="31"/>
      <c r="F190" s="108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6.5" customHeight="1">
      <c r="A191" s="108"/>
      <c r="B191" s="31"/>
      <c r="C191" s="31"/>
      <c r="D191" s="31"/>
      <c r="E191" s="31"/>
      <c r="F191" s="108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6.5" customHeight="1">
      <c r="A192" s="108"/>
      <c r="B192" s="31"/>
      <c r="C192" s="31"/>
      <c r="D192" s="31"/>
      <c r="E192" s="31"/>
      <c r="F192" s="108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6.5" customHeight="1">
      <c r="A193" s="108"/>
      <c r="B193" s="31"/>
      <c r="C193" s="31"/>
      <c r="D193" s="31"/>
      <c r="E193" s="31"/>
      <c r="F193" s="108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6.5" customHeight="1">
      <c r="A194" s="108"/>
      <c r="B194" s="31"/>
      <c r="C194" s="31"/>
      <c r="D194" s="31"/>
      <c r="E194" s="31"/>
      <c r="F194" s="108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6.5" customHeight="1">
      <c r="A195" s="108"/>
      <c r="B195" s="31"/>
      <c r="C195" s="31"/>
      <c r="D195" s="31"/>
      <c r="E195" s="31"/>
      <c r="F195" s="108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6.5" customHeight="1">
      <c r="A196" s="108"/>
      <c r="B196" s="31"/>
      <c r="C196" s="31"/>
      <c r="D196" s="31"/>
      <c r="E196" s="31"/>
      <c r="F196" s="108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6.5" customHeight="1">
      <c r="A197" s="108"/>
      <c r="B197" s="31"/>
      <c r="C197" s="31"/>
      <c r="D197" s="31"/>
      <c r="E197" s="31"/>
      <c r="F197" s="108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6.5" customHeight="1">
      <c r="A198" s="108"/>
      <c r="B198" s="31"/>
      <c r="C198" s="31"/>
      <c r="D198" s="31"/>
      <c r="E198" s="31"/>
      <c r="F198" s="108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6.5" customHeight="1">
      <c r="A199" s="108"/>
      <c r="B199" s="31"/>
      <c r="C199" s="31"/>
      <c r="D199" s="31"/>
      <c r="E199" s="31"/>
      <c r="F199" s="108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6.5" customHeight="1">
      <c r="A200" s="108"/>
      <c r="B200" s="31"/>
      <c r="C200" s="31"/>
      <c r="D200" s="31"/>
      <c r="E200" s="31"/>
      <c r="F200" s="108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6.5" customHeight="1">
      <c r="A201" s="108"/>
      <c r="B201" s="31"/>
      <c r="C201" s="31"/>
      <c r="D201" s="31"/>
      <c r="E201" s="31"/>
      <c r="F201" s="108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6.5" customHeight="1">
      <c r="A202" s="108"/>
      <c r="B202" s="31"/>
      <c r="C202" s="31"/>
      <c r="D202" s="31"/>
      <c r="E202" s="31"/>
      <c r="F202" s="108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6.5" customHeight="1">
      <c r="A203" s="108"/>
      <c r="B203" s="31"/>
      <c r="C203" s="31"/>
      <c r="D203" s="31"/>
      <c r="E203" s="31"/>
      <c r="F203" s="108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6.5" customHeight="1">
      <c r="A204" s="108"/>
      <c r="B204" s="31"/>
      <c r="C204" s="31"/>
      <c r="D204" s="31"/>
      <c r="E204" s="31"/>
      <c r="F204" s="108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6.5" customHeight="1">
      <c r="A205" s="108"/>
      <c r="B205" s="31"/>
      <c r="C205" s="31"/>
      <c r="D205" s="31"/>
      <c r="E205" s="31"/>
      <c r="F205" s="108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6.5" customHeight="1">
      <c r="A206" s="108"/>
      <c r="B206" s="31"/>
      <c r="C206" s="31"/>
      <c r="D206" s="31"/>
      <c r="E206" s="31"/>
      <c r="F206" s="108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6.5" customHeight="1">
      <c r="A207" s="108"/>
      <c r="B207" s="31"/>
      <c r="C207" s="31"/>
      <c r="D207" s="31"/>
      <c r="E207" s="31"/>
      <c r="F207" s="108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6.5" customHeight="1">
      <c r="A208" s="108"/>
      <c r="B208" s="31"/>
      <c r="C208" s="31"/>
      <c r="D208" s="31"/>
      <c r="E208" s="31"/>
      <c r="F208" s="108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6.5" customHeight="1">
      <c r="A209" s="108"/>
      <c r="B209" s="31"/>
      <c r="C209" s="31"/>
      <c r="D209" s="31"/>
      <c r="E209" s="31"/>
      <c r="F209" s="108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6.5" customHeight="1">
      <c r="A210" s="108"/>
      <c r="B210" s="31"/>
      <c r="C210" s="31"/>
      <c r="D210" s="31"/>
      <c r="E210" s="31"/>
      <c r="F210" s="108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6.5" customHeight="1">
      <c r="A211" s="108"/>
      <c r="B211" s="31"/>
      <c r="C211" s="31"/>
      <c r="D211" s="31"/>
      <c r="E211" s="31"/>
      <c r="F211" s="108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6.5" customHeight="1">
      <c r="A212" s="108"/>
      <c r="B212" s="31"/>
      <c r="C212" s="31"/>
      <c r="D212" s="31"/>
      <c r="E212" s="31"/>
      <c r="F212" s="108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6.5" customHeight="1">
      <c r="A213" s="108"/>
      <c r="B213" s="31"/>
      <c r="C213" s="31"/>
      <c r="D213" s="31"/>
      <c r="E213" s="31"/>
      <c r="F213" s="108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6.5" customHeight="1">
      <c r="A214" s="108"/>
      <c r="B214" s="31"/>
      <c r="C214" s="31"/>
      <c r="D214" s="31"/>
      <c r="E214" s="31"/>
      <c r="F214" s="108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6.5" customHeight="1">
      <c r="A215" s="108"/>
      <c r="B215" s="31"/>
      <c r="C215" s="31"/>
      <c r="D215" s="31"/>
      <c r="E215" s="31"/>
      <c r="F215" s="108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6.5" customHeight="1">
      <c r="A216" s="108"/>
      <c r="B216" s="31"/>
      <c r="C216" s="31"/>
      <c r="D216" s="31"/>
      <c r="E216" s="31"/>
      <c r="F216" s="108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6.5" customHeight="1">
      <c r="A217" s="108"/>
      <c r="B217" s="31"/>
      <c r="C217" s="31"/>
      <c r="D217" s="31"/>
      <c r="E217" s="31"/>
      <c r="F217" s="108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6.5" customHeight="1">
      <c r="A218" s="108"/>
      <c r="B218" s="31"/>
      <c r="C218" s="31"/>
      <c r="D218" s="31"/>
      <c r="E218" s="31"/>
      <c r="F218" s="108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6.5" customHeight="1">
      <c r="A219" s="108"/>
      <c r="B219" s="31"/>
      <c r="C219" s="31"/>
      <c r="D219" s="31"/>
      <c r="E219" s="31"/>
      <c r="F219" s="108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6.5" customHeight="1">
      <c r="A220" s="108"/>
      <c r="B220" s="31"/>
      <c r="C220" s="31"/>
      <c r="D220" s="31"/>
      <c r="E220" s="31"/>
      <c r="F220" s="108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6.5" customHeight="1">
      <c r="A221" s="108"/>
      <c r="B221" s="31"/>
      <c r="C221" s="31"/>
      <c r="D221" s="31"/>
      <c r="E221" s="31"/>
      <c r="F221" s="108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6.5" customHeight="1">
      <c r="A222" s="108"/>
      <c r="B222" s="31"/>
      <c r="C222" s="31"/>
      <c r="D222" s="31"/>
      <c r="E222" s="31"/>
      <c r="F222" s="108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6.5" customHeight="1">
      <c r="A223" s="108"/>
      <c r="B223" s="31"/>
      <c r="C223" s="31"/>
      <c r="D223" s="31"/>
      <c r="E223" s="31"/>
      <c r="F223" s="108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6.5" customHeight="1">
      <c r="A224" s="108"/>
      <c r="B224" s="31"/>
      <c r="C224" s="31"/>
      <c r="D224" s="31"/>
      <c r="E224" s="31"/>
      <c r="F224" s="108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6.5" customHeight="1">
      <c r="A225" s="108"/>
      <c r="B225" s="31"/>
      <c r="C225" s="31"/>
      <c r="D225" s="31"/>
      <c r="E225" s="31"/>
      <c r="F225" s="108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6.5" customHeight="1">
      <c r="A226" s="108"/>
      <c r="B226" s="31"/>
      <c r="C226" s="31"/>
      <c r="D226" s="31"/>
      <c r="E226" s="31"/>
      <c r="F226" s="108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6.5" customHeight="1">
      <c r="A227" s="108"/>
      <c r="B227" s="31"/>
      <c r="C227" s="31"/>
      <c r="D227" s="31"/>
      <c r="E227" s="31"/>
      <c r="F227" s="108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6.5" customHeight="1">
      <c r="A228" s="108"/>
      <c r="B228" s="31"/>
      <c r="C228" s="31"/>
      <c r="D228" s="31"/>
      <c r="E228" s="31"/>
      <c r="F228" s="108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6.5" customHeight="1">
      <c r="A229" s="108"/>
      <c r="B229" s="31"/>
      <c r="C229" s="31"/>
      <c r="D229" s="31"/>
      <c r="E229" s="31"/>
      <c r="F229" s="108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6.5" customHeight="1">
      <c r="A230" s="108"/>
      <c r="B230" s="31"/>
      <c r="C230" s="31"/>
      <c r="D230" s="31"/>
      <c r="E230" s="31"/>
      <c r="F230" s="108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6.5" customHeight="1">
      <c r="A231" s="108"/>
      <c r="B231" s="31"/>
      <c r="C231" s="31"/>
      <c r="D231" s="31"/>
      <c r="E231" s="31"/>
      <c r="F231" s="108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6.5" customHeight="1">
      <c r="A232" s="108"/>
      <c r="B232" s="31"/>
      <c r="C232" s="31"/>
      <c r="D232" s="31"/>
      <c r="E232" s="31"/>
      <c r="F232" s="108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6.5" customHeight="1">
      <c r="A233" s="108"/>
      <c r="B233" s="31"/>
      <c r="C233" s="31"/>
      <c r="D233" s="31"/>
      <c r="E233" s="31"/>
      <c r="F233" s="108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6.5" customHeight="1">
      <c r="A234" s="108"/>
      <c r="B234" s="31"/>
      <c r="C234" s="31"/>
      <c r="D234" s="31"/>
      <c r="E234" s="31"/>
      <c r="F234" s="108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6.5" customHeight="1">
      <c r="A235" s="108"/>
      <c r="B235" s="31"/>
      <c r="C235" s="31"/>
      <c r="D235" s="31"/>
      <c r="E235" s="31"/>
      <c r="F235" s="108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6.5" customHeight="1">
      <c r="A236" s="108"/>
      <c r="B236" s="31"/>
      <c r="C236" s="31"/>
      <c r="D236" s="31"/>
      <c r="E236" s="31"/>
      <c r="F236" s="108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6.5" customHeight="1">
      <c r="A237" s="108"/>
      <c r="B237" s="31"/>
      <c r="C237" s="31"/>
      <c r="D237" s="31"/>
      <c r="E237" s="31"/>
      <c r="F237" s="108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6.5" customHeight="1">
      <c r="A238" s="108"/>
      <c r="B238" s="31"/>
      <c r="C238" s="31"/>
      <c r="D238" s="31"/>
      <c r="E238" s="31"/>
      <c r="F238" s="108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6.5" customHeight="1">
      <c r="A239" s="108"/>
      <c r="B239" s="31"/>
      <c r="C239" s="31"/>
      <c r="D239" s="31"/>
      <c r="E239" s="31"/>
      <c r="F239" s="108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6.5" customHeight="1">
      <c r="A240" s="108"/>
      <c r="B240" s="31"/>
      <c r="C240" s="31"/>
      <c r="D240" s="31"/>
      <c r="E240" s="31"/>
      <c r="F240" s="108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6.5" customHeight="1">
      <c r="A241" s="108"/>
      <c r="B241" s="31"/>
      <c r="C241" s="31"/>
      <c r="D241" s="31"/>
      <c r="E241" s="31"/>
      <c r="F241" s="108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6.5" customHeight="1">
      <c r="A242" s="108"/>
      <c r="B242" s="31"/>
      <c r="C242" s="31"/>
      <c r="D242" s="31"/>
      <c r="E242" s="31"/>
      <c r="F242" s="108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6.5" customHeight="1">
      <c r="A243" s="108"/>
      <c r="B243" s="31"/>
      <c r="C243" s="31"/>
      <c r="D243" s="31"/>
      <c r="E243" s="31"/>
      <c r="F243" s="108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6.5" customHeight="1">
      <c r="A244" s="108"/>
      <c r="B244" s="31"/>
      <c r="C244" s="31"/>
      <c r="D244" s="31"/>
      <c r="E244" s="31"/>
      <c r="F244" s="108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6.5" customHeight="1">
      <c r="A245" s="108"/>
      <c r="B245" s="31"/>
      <c r="C245" s="31"/>
      <c r="D245" s="31"/>
      <c r="E245" s="31"/>
      <c r="F245" s="108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6.5" customHeight="1">
      <c r="A246" s="108"/>
      <c r="B246" s="31"/>
      <c r="C246" s="31"/>
      <c r="D246" s="31"/>
      <c r="E246" s="31"/>
      <c r="F246" s="108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6.5" customHeight="1">
      <c r="A247" s="108"/>
      <c r="B247" s="31"/>
      <c r="C247" s="31"/>
      <c r="D247" s="31"/>
      <c r="E247" s="31"/>
      <c r="F247" s="108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6.5" customHeight="1">
      <c r="A248" s="108"/>
      <c r="B248" s="31"/>
      <c r="C248" s="31"/>
      <c r="D248" s="31"/>
      <c r="E248" s="31"/>
      <c r="F248" s="108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6.5" customHeight="1">
      <c r="A249" s="108"/>
      <c r="B249" s="31"/>
      <c r="C249" s="31"/>
      <c r="D249" s="31"/>
      <c r="E249" s="31"/>
      <c r="F249" s="108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6.5" customHeight="1">
      <c r="A250" s="108"/>
      <c r="B250" s="31"/>
      <c r="C250" s="31"/>
      <c r="D250" s="31"/>
      <c r="E250" s="31"/>
      <c r="F250" s="108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6.5" customHeight="1">
      <c r="A251" s="108"/>
      <c r="B251" s="31"/>
      <c r="C251" s="31"/>
      <c r="D251" s="31"/>
      <c r="E251" s="31"/>
      <c r="F251" s="108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6.5" customHeight="1">
      <c r="A252" s="108"/>
      <c r="B252" s="31"/>
      <c r="C252" s="31"/>
      <c r="D252" s="31"/>
      <c r="E252" s="31"/>
      <c r="F252" s="108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6.5" customHeight="1">
      <c r="A253" s="108"/>
      <c r="B253" s="31"/>
      <c r="C253" s="31"/>
      <c r="D253" s="31"/>
      <c r="E253" s="31"/>
      <c r="F253" s="108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6.5" customHeight="1">
      <c r="A254" s="108"/>
      <c r="B254" s="31"/>
      <c r="C254" s="31"/>
      <c r="D254" s="31"/>
      <c r="E254" s="31"/>
      <c r="F254" s="108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6.5" customHeight="1">
      <c r="A255" s="108"/>
      <c r="B255" s="31"/>
      <c r="C255" s="31"/>
      <c r="D255" s="31"/>
      <c r="E255" s="31"/>
      <c r="F255" s="108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6.5" customHeight="1">
      <c r="A256" s="108"/>
      <c r="B256" s="31"/>
      <c r="C256" s="31"/>
      <c r="D256" s="31"/>
      <c r="E256" s="31"/>
      <c r="F256" s="108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6.5" customHeight="1">
      <c r="A257" s="108"/>
      <c r="B257" s="31"/>
      <c r="C257" s="31"/>
      <c r="D257" s="31"/>
      <c r="E257" s="31"/>
      <c r="F257" s="108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6.5" customHeight="1">
      <c r="A258" s="108"/>
      <c r="B258" s="31"/>
      <c r="C258" s="31"/>
      <c r="D258" s="31"/>
      <c r="E258" s="31"/>
      <c r="F258" s="108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6.5" customHeight="1">
      <c r="A259" s="108"/>
      <c r="B259" s="31"/>
      <c r="C259" s="31"/>
      <c r="D259" s="31"/>
      <c r="E259" s="31"/>
      <c r="F259" s="108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6.5" customHeight="1">
      <c r="A260" s="108"/>
      <c r="B260" s="31"/>
      <c r="C260" s="31"/>
      <c r="D260" s="31"/>
      <c r="E260" s="31"/>
      <c r="F260" s="108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6.5" customHeight="1">
      <c r="A261" s="108"/>
      <c r="B261" s="31"/>
      <c r="C261" s="31"/>
      <c r="D261" s="31"/>
      <c r="E261" s="31"/>
      <c r="F261" s="108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6.5" customHeight="1">
      <c r="A262" s="108"/>
      <c r="B262" s="31"/>
      <c r="C262" s="31"/>
      <c r="D262" s="31"/>
      <c r="E262" s="31"/>
      <c r="F262" s="108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6.5" customHeight="1">
      <c r="A263" s="108"/>
      <c r="B263" s="31"/>
      <c r="C263" s="31"/>
      <c r="D263" s="31"/>
      <c r="E263" s="31"/>
      <c r="F263" s="108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6.5" customHeight="1">
      <c r="A264" s="108"/>
      <c r="B264" s="31"/>
      <c r="C264" s="31"/>
      <c r="D264" s="31"/>
      <c r="E264" s="31"/>
      <c r="F264" s="108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6.5" customHeight="1">
      <c r="A265" s="108"/>
      <c r="B265" s="31"/>
      <c r="C265" s="31"/>
      <c r="D265" s="31"/>
      <c r="E265" s="31"/>
      <c r="F265" s="108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6.5" customHeight="1">
      <c r="A266" s="108"/>
      <c r="B266" s="31"/>
      <c r="C266" s="31"/>
      <c r="D266" s="31"/>
      <c r="E266" s="31"/>
      <c r="F266" s="108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6.5" customHeight="1">
      <c r="A267" s="108"/>
      <c r="B267" s="31"/>
      <c r="C267" s="31"/>
      <c r="D267" s="31"/>
      <c r="E267" s="31"/>
      <c r="F267" s="108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6.5" customHeight="1">
      <c r="A268" s="108"/>
      <c r="B268" s="31"/>
      <c r="C268" s="31"/>
      <c r="D268" s="31"/>
      <c r="E268" s="31"/>
      <c r="F268" s="108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6.5" customHeight="1">
      <c r="A269" s="108"/>
      <c r="B269" s="31"/>
      <c r="C269" s="31"/>
      <c r="D269" s="31"/>
      <c r="E269" s="31"/>
      <c r="F269" s="108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6.5" customHeight="1">
      <c r="A270" s="108"/>
      <c r="B270" s="31"/>
      <c r="C270" s="31"/>
      <c r="D270" s="31"/>
      <c r="E270" s="31"/>
      <c r="F270" s="108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6.5" customHeight="1">
      <c r="A271" s="108"/>
      <c r="B271" s="31"/>
      <c r="C271" s="31"/>
      <c r="D271" s="31"/>
      <c r="E271" s="31"/>
      <c r="F271" s="108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6.5" customHeight="1">
      <c r="A272" s="108"/>
      <c r="B272" s="31"/>
      <c r="C272" s="31"/>
      <c r="D272" s="31"/>
      <c r="E272" s="31"/>
      <c r="F272" s="108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6.5" customHeight="1">
      <c r="A273" s="108"/>
      <c r="B273" s="31"/>
      <c r="C273" s="31"/>
      <c r="D273" s="31"/>
      <c r="E273" s="31"/>
      <c r="F273" s="108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6.5" customHeight="1">
      <c r="A274" s="108"/>
      <c r="B274" s="31"/>
      <c r="C274" s="31"/>
      <c r="D274" s="31"/>
      <c r="E274" s="31"/>
      <c r="F274" s="108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6.5" customHeight="1">
      <c r="A275" s="108"/>
      <c r="B275" s="31"/>
      <c r="C275" s="31"/>
      <c r="D275" s="31"/>
      <c r="E275" s="31"/>
      <c r="F275" s="108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6.5" customHeight="1">
      <c r="A276" s="108"/>
      <c r="B276" s="31"/>
      <c r="C276" s="31"/>
      <c r="D276" s="31"/>
      <c r="E276" s="31"/>
      <c r="F276" s="108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6.5" customHeight="1">
      <c r="A277" s="108"/>
      <c r="B277" s="31"/>
      <c r="C277" s="31"/>
      <c r="D277" s="31"/>
      <c r="E277" s="31"/>
      <c r="F277" s="108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6.5" customHeight="1">
      <c r="A278" s="108"/>
      <c r="B278" s="31"/>
      <c r="C278" s="31"/>
      <c r="D278" s="31"/>
      <c r="E278" s="31"/>
      <c r="F278" s="108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6.5" customHeight="1">
      <c r="A279" s="108"/>
      <c r="B279" s="31"/>
      <c r="C279" s="31"/>
      <c r="D279" s="31"/>
      <c r="E279" s="31"/>
      <c r="F279" s="108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6.5" customHeight="1">
      <c r="A280" s="108"/>
      <c r="B280" s="31"/>
      <c r="C280" s="31"/>
      <c r="D280" s="31"/>
      <c r="E280" s="31"/>
      <c r="F280" s="108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6.5" customHeight="1">
      <c r="A281" s="108"/>
      <c r="B281" s="31"/>
      <c r="C281" s="31"/>
      <c r="D281" s="31"/>
      <c r="E281" s="31"/>
      <c r="F281" s="108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6.5" customHeight="1">
      <c r="A282" s="108"/>
      <c r="B282" s="31"/>
      <c r="C282" s="31"/>
      <c r="D282" s="31"/>
      <c r="E282" s="31"/>
      <c r="F282" s="108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6.5" customHeight="1">
      <c r="A283" s="108"/>
      <c r="B283" s="31"/>
      <c r="C283" s="31"/>
      <c r="D283" s="31"/>
      <c r="E283" s="31"/>
      <c r="F283" s="108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6.5" customHeight="1">
      <c r="A284" s="108"/>
      <c r="B284" s="31"/>
      <c r="C284" s="31"/>
      <c r="D284" s="31"/>
      <c r="E284" s="31"/>
      <c r="F284" s="108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6.5" customHeight="1">
      <c r="A285" s="108"/>
      <c r="B285" s="31"/>
      <c r="C285" s="31"/>
      <c r="D285" s="31"/>
      <c r="E285" s="31"/>
      <c r="F285" s="108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6.5" customHeight="1">
      <c r="A286" s="108"/>
      <c r="B286" s="31"/>
      <c r="C286" s="31"/>
      <c r="D286" s="31"/>
      <c r="E286" s="31"/>
      <c r="F286" s="108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6.5" customHeight="1">
      <c r="A287" s="108"/>
      <c r="B287" s="31"/>
      <c r="C287" s="31"/>
      <c r="D287" s="31"/>
      <c r="E287" s="31"/>
      <c r="F287" s="108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6.5" customHeight="1">
      <c r="A288" s="108"/>
      <c r="B288" s="31"/>
      <c r="C288" s="31"/>
      <c r="D288" s="31"/>
      <c r="E288" s="31"/>
      <c r="F288" s="108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6.5" customHeight="1">
      <c r="A289" s="108"/>
      <c r="B289" s="31"/>
      <c r="C289" s="31"/>
      <c r="D289" s="31"/>
      <c r="E289" s="31"/>
      <c r="F289" s="108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6.5" customHeight="1">
      <c r="A290" s="108"/>
      <c r="B290" s="31"/>
      <c r="C290" s="31"/>
      <c r="D290" s="31"/>
      <c r="E290" s="31"/>
      <c r="F290" s="108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6.5" customHeight="1">
      <c r="A291" s="108"/>
      <c r="B291" s="31"/>
      <c r="C291" s="31"/>
      <c r="D291" s="31"/>
      <c r="E291" s="31"/>
      <c r="F291" s="108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6.5" customHeight="1">
      <c r="A292" s="108"/>
      <c r="B292" s="31"/>
      <c r="C292" s="31"/>
      <c r="D292" s="31"/>
      <c r="E292" s="31"/>
      <c r="F292" s="108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6.5" customHeight="1">
      <c r="A293" s="108"/>
      <c r="B293" s="31"/>
      <c r="C293" s="31"/>
      <c r="D293" s="31"/>
      <c r="E293" s="31"/>
      <c r="F293" s="108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6.5" customHeight="1">
      <c r="A294" s="108"/>
      <c r="B294" s="31"/>
      <c r="C294" s="31"/>
      <c r="D294" s="31"/>
      <c r="E294" s="31"/>
      <c r="F294" s="108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6.5" customHeight="1">
      <c r="A295" s="108"/>
      <c r="B295" s="31"/>
      <c r="C295" s="31"/>
      <c r="D295" s="31"/>
      <c r="E295" s="31"/>
      <c r="F295" s="108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6.5" customHeight="1">
      <c r="A296" s="108"/>
      <c r="B296" s="31"/>
      <c r="C296" s="31"/>
      <c r="D296" s="31"/>
      <c r="E296" s="31"/>
      <c r="F296" s="108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6.5" customHeight="1">
      <c r="A297" s="108"/>
      <c r="B297" s="31"/>
      <c r="C297" s="31"/>
      <c r="D297" s="31"/>
      <c r="E297" s="31"/>
      <c r="F297" s="108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6.5" customHeight="1">
      <c r="A298" s="108"/>
      <c r="B298" s="31"/>
      <c r="C298" s="31"/>
      <c r="D298" s="31"/>
      <c r="E298" s="31"/>
      <c r="F298" s="108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6.5" customHeight="1">
      <c r="A299" s="108"/>
      <c r="B299" s="31"/>
      <c r="C299" s="31"/>
      <c r="D299" s="31"/>
      <c r="E299" s="31"/>
      <c r="F299" s="108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6.5" customHeight="1">
      <c r="A300" s="108"/>
      <c r="B300" s="31"/>
      <c r="C300" s="31"/>
      <c r="D300" s="31"/>
      <c r="E300" s="31"/>
      <c r="F300" s="108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6.5" customHeight="1">
      <c r="A301" s="108"/>
      <c r="B301" s="31"/>
      <c r="C301" s="31"/>
      <c r="D301" s="31"/>
      <c r="E301" s="31"/>
      <c r="F301" s="108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6.5" customHeight="1">
      <c r="A302" s="108"/>
      <c r="B302" s="31"/>
      <c r="C302" s="31"/>
      <c r="D302" s="31"/>
      <c r="E302" s="31"/>
      <c r="F302" s="108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6.5" customHeight="1">
      <c r="A303" s="108"/>
      <c r="B303" s="31"/>
      <c r="C303" s="31"/>
      <c r="D303" s="31"/>
      <c r="E303" s="31"/>
      <c r="F303" s="108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6.5" customHeight="1">
      <c r="A304" s="108"/>
      <c r="B304" s="31"/>
      <c r="C304" s="31"/>
      <c r="D304" s="31"/>
      <c r="E304" s="31"/>
      <c r="F304" s="108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6.5" customHeight="1">
      <c r="A305" s="108"/>
      <c r="B305" s="31"/>
      <c r="C305" s="31"/>
      <c r="D305" s="31"/>
      <c r="E305" s="31"/>
      <c r="F305" s="108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6.5" customHeight="1">
      <c r="A306" s="108"/>
      <c r="B306" s="31"/>
      <c r="C306" s="31"/>
      <c r="D306" s="31"/>
      <c r="E306" s="31"/>
      <c r="F306" s="108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6.5" customHeight="1">
      <c r="A307" s="108"/>
      <c r="B307" s="31"/>
      <c r="C307" s="31"/>
      <c r="D307" s="31"/>
      <c r="E307" s="31"/>
      <c r="F307" s="108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6.5" customHeight="1">
      <c r="A308" s="108"/>
      <c r="B308" s="31"/>
      <c r="C308" s="31"/>
      <c r="D308" s="31"/>
      <c r="E308" s="31"/>
      <c r="F308" s="108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6.5" customHeight="1">
      <c r="A309" s="108"/>
      <c r="B309" s="31"/>
      <c r="C309" s="31"/>
      <c r="D309" s="31"/>
      <c r="E309" s="31"/>
      <c r="F309" s="108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6.5" customHeight="1">
      <c r="A310" s="108"/>
      <c r="B310" s="31"/>
      <c r="C310" s="31"/>
      <c r="D310" s="31"/>
      <c r="E310" s="31"/>
      <c r="F310" s="108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6.5" customHeight="1">
      <c r="A311" s="108"/>
      <c r="B311" s="31"/>
      <c r="C311" s="31"/>
      <c r="D311" s="31"/>
      <c r="E311" s="31"/>
      <c r="F311" s="108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6.5" customHeight="1">
      <c r="A312" s="108"/>
      <c r="B312" s="31"/>
      <c r="C312" s="31"/>
      <c r="D312" s="31"/>
      <c r="E312" s="31"/>
      <c r="F312" s="108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6.5" customHeight="1">
      <c r="A313" s="108"/>
      <c r="B313" s="31"/>
      <c r="C313" s="31"/>
      <c r="D313" s="31"/>
      <c r="E313" s="31"/>
      <c r="F313" s="108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6.5" customHeight="1">
      <c r="A314" s="108"/>
      <c r="B314" s="31"/>
      <c r="C314" s="31"/>
      <c r="D314" s="31"/>
      <c r="E314" s="31"/>
      <c r="F314" s="108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6.5" customHeight="1">
      <c r="A315" s="108"/>
      <c r="B315" s="31"/>
      <c r="C315" s="31"/>
      <c r="D315" s="31"/>
      <c r="E315" s="31"/>
      <c r="F315" s="108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6.5" customHeight="1">
      <c r="A316" s="108"/>
      <c r="B316" s="31"/>
      <c r="C316" s="31"/>
      <c r="D316" s="31"/>
      <c r="E316" s="31"/>
      <c r="F316" s="108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6.5" customHeight="1">
      <c r="A317" s="108"/>
      <c r="B317" s="31"/>
      <c r="C317" s="31"/>
      <c r="D317" s="31"/>
      <c r="E317" s="31"/>
      <c r="F317" s="108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6.5" customHeight="1">
      <c r="A318" s="108"/>
      <c r="B318" s="31"/>
      <c r="C318" s="31"/>
      <c r="D318" s="31"/>
      <c r="E318" s="31"/>
      <c r="F318" s="108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6.5" customHeight="1">
      <c r="A319" s="108"/>
      <c r="B319" s="31"/>
      <c r="C319" s="31"/>
      <c r="D319" s="31"/>
      <c r="E319" s="31"/>
      <c r="F319" s="108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6.5" customHeight="1">
      <c r="A320" s="108"/>
      <c r="B320" s="31"/>
      <c r="C320" s="31"/>
      <c r="D320" s="31"/>
      <c r="E320" s="31"/>
      <c r="F320" s="108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6.5" customHeight="1">
      <c r="A321" s="108"/>
      <c r="B321" s="31"/>
      <c r="C321" s="31"/>
      <c r="D321" s="31"/>
      <c r="E321" s="31"/>
      <c r="F321" s="108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6.5" customHeight="1">
      <c r="A322" s="108"/>
      <c r="B322" s="31"/>
      <c r="C322" s="31"/>
      <c r="D322" s="31"/>
      <c r="E322" s="31"/>
      <c r="F322" s="108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6.5" customHeight="1">
      <c r="A323" s="108"/>
      <c r="B323" s="31"/>
      <c r="C323" s="31"/>
      <c r="D323" s="31"/>
      <c r="E323" s="31"/>
      <c r="F323" s="108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6.5" customHeight="1">
      <c r="A324" s="108"/>
      <c r="B324" s="31"/>
      <c r="C324" s="31"/>
      <c r="D324" s="31"/>
      <c r="E324" s="31"/>
      <c r="F324" s="108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6.5" customHeight="1">
      <c r="A325" s="108"/>
      <c r="B325" s="31"/>
      <c r="C325" s="31"/>
      <c r="D325" s="31"/>
      <c r="E325" s="31"/>
      <c r="F325" s="108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6.5" customHeight="1">
      <c r="A326" s="108"/>
      <c r="B326" s="31"/>
      <c r="C326" s="31"/>
      <c r="D326" s="31"/>
      <c r="E326" s="31"/>
      <c r="F326" s="108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6.5" customHeight="1">
      <c r="A327" s="108"/>
      <c r="B327" s="31"/>
      <c r="C327" s="31"/>
      <c r="D327" s="31"/>
      <c r="E327" s="31"/>
      <c r="F327" s="108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6.5" customHeight="1">
      <c r="A328" s="108"/>
      <c r="B328" s="31"/>
      <c r="C328" s="31"/>
      <c r="D328" s="31"/>
      <c r="E328" s="31"/>
      <c r="F328" s="108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6.5" customHeight="1">
      <c r="A329" s="108"/>
      <c r="B329" s="31"/>
      <c r="C329" s="31"/>
      <c r="D329" s="31"/>
      <c r="E329" s="31"/>
      <c r="F329" s="108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6.5" customHeight="1">
      <c r="A330" s="108"/>
      <c r="B330" s="31"/>
      <c r="C330" s="31"/>
      <c r="D330" s="31"/>
      <c r="E330" s="31"/>
      <c r="F330" s="108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6.5" customHeight="1">
      <c r="A331" s="108"/>
      <c r="B331" s="31"/>
      <c r="C331" s="31"/>
      <c r="D331" s="31"/>
      <c r="E331" s="31"/>
      <c r="F331" s="108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6.5" customHeight="1">
      <c r="A332" s="108"/>
      <c r="B332" s="31"/>
      <c r="C332" s="31"/>
      <c r="D332" s="31"/>
      <c r="E332" s="31"/>
      <c r="F332" s="108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6.5" customHeight="1">
      <c r="A333" s="108"/>
      <c r="B333" s="31"/>
      <c r="C333" s="31"/>
      <c r="D333" s="31"/>
      <c r="E333" s="31"/>
      <c r="F333" s="108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6.5" customHeight="1">
      <c r="A334" s="108"/>
      <c r="B334" s="31"/>
      <c r="C334" s="31"/>
      <c r="D334" s="31"/>
      <c r="E334" s="31"/>
      <c r="F334" s="108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6.5" customHeight="1">
      <c r="A335" s="108"/>
      <c r="B335" s="31"/>
      <c r="C335" s="31"/>
      <c r="D335" s="31"/>
      <c r="E335" s="31"/>
      <c r="F335" s="108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6.5" customHeight="1">
      <c r="A336" s="108"/>
      <c r="B336" s="31"/>
      <c r="C336" s="31"/>
      <c r="D336" s="31"/>
      <c r="E336" s="31"/>
      <c r="F336" s="108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6.5" customHeight="1">
      <c r="A337" s="108"/>
      <c r="B337" s="31"/>
      <c r="C337" s="31"/>
      <c r="D337" s="31"/>
      <c r="E337" s="31"/>
      <c r="F337" s="108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6.5" customHeight="1">
      <c r="A338" s="108"/>
      <c r="B338" s="31"/>
      <c r="C338" s="31"/>
      <c r="D338" s="31"/>
      <c r="E338" s="31"/>
      <c r="F338" s="108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6.5" customHeight="1">
      <c r="A339" s="108"/>
      <c r="B339" s="31"/>
      <c r="C339" s="31"/>
      <c r="D339" s="31"/>
      <c r="E339" s="31"/>
      <c r="F339" s="108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6.5" customHeight="1">
      <c r="A340" s="108"/>
      <c r="B340" s="31"/>
      <c r="C340" s="31"/>
      <c r="D340" s="31"/>
      <c r="E340" s="31"/>
      <c r="F340" s="108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6.5" customHeight="1">
      <c r="A341" s="108"/>
      <c r="B341" s="31"/>
      <c r="C341" s="31"/>
      <c r="D341" s="31"/>
      <c r="E341" s="31"/>
      <c r="F341" s="108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6.5" customHeight="1">
      <c r="A342" s="108"/>
      <c r="B342" s="31"/>
      <c r="C342" s="31"/>
      <c r="D342" s="31"/>
      <c r="E342" s="31"/>
      <c r="F342" s="108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6.5" customHeight="1">
      <c r="A343" s="108"/>
      <c r="B343" s="31"/>
      <c r="C343" s="31"/>
      <c r="D343" s="31"/>
      <c r="E343" s="31"/>
      <c r="F343" s="108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6.5" customHeight="1">
      <c r="A344" s="108"/>
      <c r="B344" s="31"/>
      <c r="C344" s="31"/>
      <c r="D344" s="31"/>
      <c r="E344" s="31"/>
      <c r="F344" s="108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6.5" customHeight="1">
      <c r="A345" s="108"/>
      <c r="B345" s="31"/>
      <c r="C345" s="31"/>
      <c r="D345" s="31"/>
      <c r="E345" s="31"/>
      <c r="F345" s="108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6.5" customHeight="1">
      <c r="A346" s="108"/>
      <c r="B346" s="31"/>
      <c r="C346" s="31"/>
      <c r="D346" s="31"/>
      <c r="E346" s="31"/>
      <c r="F346" s="108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6.5" customHeight="1">
      <c r="A347" s="108"/>
      <c r="B347" s="31"/>
      <c r="C347" s="31"/>
      <c r="D347" s="31"/>
      <c r="E347" s="31"/>
      <c r="F347" s="108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6.5" customHeight="1">
      <c r="A348" s="108"/>
      <c r="B348" s="31"/>
      <c r="C348" s="31"/>
      <c r="D348" s="31"/>
      <c r="E348" s="31"/>
      <c r="F348" s="108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6.5" customHeight="1">
      <c r="A349" s="108"/>
      <c r="B349" s="31"/>
      <c r="C349" s="31"/>
      <c r="D349" s="31"/>
      <c r="E349" s="31"/>
      <c r="F349" s="108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6.5" customHeight="1">
      <c r="A350" s="108"/>
      <c r="B350" s="31"/>
      <c r="C350" s="31"/>
      <c r="D350" s="31"/>
      <c r="E350" s="31"/>
      <c r="F350" s="108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6.5" customHeight="1">
      <c r="A351" s="108"/>
      <c r="B351" s="31"/>
      <c r="C351" s="31"/>
      <c r="D351" s="31"/>
      <c r="E351" s="31"/>
      <c r="F351" s="108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6.5" customHeight="1">
      <c r="A352" s="108"/>
      <c r="B352" s="31"/>
      <c r="C352" s="31"/>
      <c r="D352" s="31"/>
      <c r="E352" s="31"/>
      <c r="F352" s="108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6.5" customHeight="1">
      <c r="A353" s="108"/>
      <c r="B353" s="31"/>
      <c r="C353" s="31"/>
      <c r="D353" s="31"/>
      <c r="E353" s="31"/>
      <c r="F353" s="108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6.5" customHeight="1">
      <c r="A354" s="108"/>
      <c r="B354" s="31"/>
      <c r="C354" s="31"/>
      <c r="D354" s="31"/>
      <c r="E354" s="31"/>
      <c r="F354" s="108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6.5" customHeight="1">
      <c r="A355" s="108"/>
      <c r="B355" s="31"/>
      <c r="C355" s="31"/>
      <c r="D355" s="31"/>
      <c r="E355" s="31"/>
      <c r="F355" s="108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6.5" customHeight="1">
      <c r="A356" s="108"/>
      <c r="B356" s="31"/>
      <c r="C356" s="31"/>
      <c r="D356" s="31"/>
      <c r="E356" s="31"/>
      <c r="F356" s="108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6.5" customHeight="1">
      <c r="A357" s="108"/>
      <c r="B357" s="31"/>
      <c r="C357" s="31"/>
      <c r="D357" s="31"/>
      <c r="E357" s="31"/>
      <c r="F357" s="108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6.5" customHeight="1">
      <c r="A358" s="108"/>
      <c r="B358" s="31"/>
      <c r="C358" s="31"/>
      <c r="D358" s="31"/>
      <c r="E358" s="31"/>
      <c r="F358" s="108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6.5" customHeight="1">
      <c r="A359" s="108"/>
      <c r="B359" s="31"/>
      <c r="C359" s="31"/>
      <c r="D359" s="31"/>
      <c r="E359" s="31"/>
      <c r="F359" s="108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6.5" customHeight="1">
      <c r="A360" s="108"/>
      <c r="B360" s="31"/>
      <c r="C360" s="31"/>
      <c r="D360" s="31"/>
      <c r="E360" s="31"/>
      <c r="F360" s="108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6.5" customHeight="1">
      <c r="A361" s="108"/>
      <c r="B361" s="31"/>
      <c r="C361" s="31"/>
      <c r="D361" s="31"/>
      <c r="E361" s="31"/>
      <c r="F361" s="108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6.5" customHeight="1">
      <c r="A362" s="108"/>
      <c r="B362" s="31"/>
      <c r="C362" s="31"/>
      <c r="D362" s="31"/>
      <c r="E362" s="31"/>
      <c r="F362" s="108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6.5" customHeight="1">
      <c r="A363" s="108"/>
      <c r="B363" s="31"/>
      <c r="C363" s="31"/>
      <c r="D363" s="31"/>
      <c r="E363" s="31"/>
      <c r="F363" s="108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6.5" customHeight="1">
      <c r="A364" s="108"/>
      <c r="B364" s="31"/>
      <c r="C364" s="31"/>
      <c r="D364" s="31"/>
      <c r="E364" s="31"/>
      <c r="F364" s="108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6.5" customHeight="1">
      <c r="A365" s="108"/>
      <c r="B365" s="31"/>
      <c r="C365" s="31"/>
      <c r="D365" s="31"/>
      <c r="E365" s="31"/>
      <c r="F365" s="108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6.5" customHeight="1">
      <c r="A366" s="108"/>
      <c r="B366" s="31"/>
      <c r="C366" s="31"/>
      <c r="D366" s="31"/>
      <c r="E366" s="31"/>
      <c r="F366" s="108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6.5" customHeight="1">
      <c r="A367" s="108"/>
      <c r="B367" s="31"/>
      <c r="C367" s="31"/>
      <c r="D367" s="31"/>
      <c r="E367" s="31"/>
      <c r="F367" s="108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6.5" customHeight="1">
      <c r="A368" s="108"/>
      <c r="B368" s="31"/>
      <c r="C368" s="31"/>
      <c r="D368" s="31"/>
      <c r="E368" s="31"/>
      <c r="F368" s="108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6.5" customHeight="1">
      <c r="A369" s="108"/>
      <c r="B369" s="31"/>
      <c r="C369" s="31"/>
      <c r="D369" s="31"/>
      <c r="E369" s="31"/>
      <c r="F369" s="108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6.5" customHeight="1">
      <c r="A370" s="108"/>
      <c r="B370" s="31"/>
      <c r="C370" s="31"/>
      <c r="D370" s="31"/>
      <c r="E370" s="31"/>
      <c r="F370" s="108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6.5" customHeight="1">
      <c r="A371" s="108"/>
      <c r="B371" s="31"/>
      <c r="C371" s="31"/>
      <c r="D371" s="31"/>
      <c r="E371" s="31"/>
      <c r="F371" s="108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6.5" customHeight="1">
      <c r="A372" s="108"/>
      <c r="B372" s="31"/>
      <c r="C372" s="31"/>
      <c r="D372" s="31"/>
      <c r="E372" s="31"/>
      <c r="F372" s="108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6.5" customHeight="1">
      <c r="A373" s="108"/>
      <c r="B373" s="31"/>
      <c r="C373" s="31"/>
      <c r="D373" s="31"/>
      <c r="E373" s="31"/>
      <c r="F373" s="108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6.5" customHeight="1">
      <c r="A374" s="108"/>
      <c r="B374" s="31"/>
      <c r="C374" s="31"/>
      <c r="D374" s="31"/>
      <c r="E374" s="31"/>
      <c r="F374" s="108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6.5" customHeight="1">
      <c r="A375" s="108"/>
      <c r="B375" s="31"/>
      <c r="C375" s="31"/>
      <c r="D375" s="31"/>
      <c r="E375" s="31"/>
      <c r="F375" s="108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6.5" customHeight="1">
      <c r="A376" s="108"/>
      <c r="B376" s="31"/>
      <c r="C376" s="31"/>
      <c r="D376" s="31"/>
      <c r="E376" s="31"/>
      <c r="F376" s="108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6.5" customHeight="1">
      <c r="A377" s="108"/>
      <c r="B377" s="31"/>
      <c r="C377" s="31"/>
      <c r="D377" s="31"/>
      <c r="E377" s="31"/>
      <c r="F377" s="108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6.5" customHeight="1">
      <c r="A378" s="108"/>
      <c r="B378" s="31"/>
      <c r="C378" s="31"/>
      <c r="D378" s="31"/>
      <c r="E378" s="31"/>
      <c r="F378" s="108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6.5" customHeight="1">
      <c r="A379" s="108"/>
      <c r="B379" s="31"/>
      <c r="C379" s="31"/>
      <c r="D379" s="31"/>
      <c r="E379" s="31"/>
      <c r="F379" s="108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6.5" customHeight="1">
      <c r="A380" s="108"/>
      <c r="B380" s="31"/>
      <c r="C380" s="31"/>
      <c r="D380" s="31"/>
      <c r="E380" s="31"/>
      <c r="F380" s="108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6.5" customHeight="1">
      <c r="A381" s="108"/>
      <c r="B381" s="31"/>
      <c r="C381" s="31"/>
      <c r="D381" s="31"/>
      <c r="E381" s="31"/>
      <c r="F381" s="108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6.5" customHeight="1">
      <c r="A382" s="108"/>
      <c r="B382" s="31"/>
      <c r="C382" s="31"/>
      <c r="D382" s="31"/>
      <c r="E382" s="31"/>
      <c r="F382" s="108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6.5" customHeight="1">
      <c r="A383" s="108"/>
      <c r="B383" s="31"/>
      <c r="C383" s="31"/>
      <c r="D383" s="31"/>
      <c r="E383" s="31"/>
      <c r="F383" s="108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6.5" customHeight="1">
      <c r="A384" s="108"/>
      <c r="B384" s="31"/>
      <c r="C384" s="31"/>
      <c r="D384" s="31"/>
      <c r="E384" s="31"/>
      <c r="F384" s="108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6.5" customHeight="1">
      <c r="A385" s="108"/>
      <c r="B385" s="31"/>
      <c r="C385" s="31"/>
      <c r="D385" s="31"/>
      <c r="E385" s="31"/>
      <c r="F385" s="108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6.5" customHeight="1">
      <c r="A386" s="108"/>
      <c r="B386" s="31"/>
      <c r="C386" s="31"/>
      <c r="D386" s="31"/>
      <c r="E386" s="31"/>
      <c r="F386" s="108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6.5" customHeight="1">
      <c r="A387" s="108"/>
      <c r="B387" s="31"/>
      <c r="C387" s="31"/>
      <c r="D387" s="31"/>
      <c r="E387" s="31"/>
      <c r="F387" s="108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6.5" customHeight="1">
      <c r="A388" s="108"/>
      <c r="B388" s="31"/>
      <c r="C388" s="31"/>
      <c r="D388" s="31"/>
      <c r="E388" s="31"/>
      <c r="F388" s="108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6.5" customHeight="1">
      <c r="A389" s="108"/>
      <c r="B389" s="31"/>
      <c r="C389" s="31"/>
      <c r="D389" s="31"/>
      <c r="E389" s="31"/>
      <c r="F389" s="108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6.5" customHeight="1">
      <c r="A390" s="108"/>
      <c r="B390" s="31"/>
      <c r="C390" s="31"/>
      <c r="D390" s="31"/>
      <c r="E390" s="31"/>
      <c r="F390" s="108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6.5" customHeight="1">
      <c r="A391" s="108"/>
      <c r="B391" s="31"/>
      <c r="C391" s="31"/>
      <c r="D391" s="31"/>
      <c r="E391" s="31"/>
      <c r="F391" s="108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6.5" customHeight="1">
      <c r="A392" s="108"/>
      <c r="B392" s="31"/>
      <c r="C392" s="31"/>
      <c r="D392" s="31"/>
      <c r="E392" s="31"/>
      <c r="F392" s="108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6.5" customHeight="1">
      <c r="A393" s="108"/>
      <c r="B393" s="31"/>
      <c r="C393" s="31"/>
      <c r="D393" s="31"/>
      <c r="E393" s="31"/>
      <c r="F393" s="108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6.5" customHeight="1">
      <c r="A394" s="108"/>
      <c r="B394" s="31"/>
      <c r="C394" s="31"/>
      <c r="D394" s="31"/>
      <c r="E394" s="31"/>
      <c r="F394" s="108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6.5" customHeight="1">
      <c r="A395" s="108"/>
      <c r="B395" s="31"/>
      <c r="C395" s="31"/>
      <c r="D395" s="31"/>
      <c r="E395" s="31"/>
      <c r="F395" s="108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6.5" customHeight="1">
      <c r="A396" s="108"/>
      <c r="B396" s="31"/>
      <c r="C396" s="31"/>
      <c r="D396" s="31"/>
      <c r="E396" s="31"/>
      <c r="F396" s="108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6.5" customHeight="1">
      <c r="A397" s="108"/>
      <c r="B397" s="31"/>
      <c r="C397" s="31"/>
      <c r="D397" s="31"/>
      <c r="E397" s="31"/>
      <c r="F397" s="108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6.5" customHeight="1">
      <c r="A398" s="108"/>
      <c r="B398" s="31"/>
      <c r="C398" s="31"/>
      <c r="D398" s="31"/>
      <c r="E398" s="31"/>
      <c r="F398" s="108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6.5" customHeight="1">
      <c r="A399" s="108"/>
      <c r="B399" s="31"/>
      <c r="C399" s="31"/>
      <c r="D399" s="31"/>
      <c r="E399" s="31"/>
      <c r="F399" s="108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6.5" customHeight="1">
      <c r="A400" s="108"/>
      <c r="B400" s="31"/>
      <c r="C400" s="31"/>
      <c r="D400" s="31"/>
      <c r="E400" s="31"/>
      <c r="F400" s="108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6.5" customHeight="1">
      <c r="A401" s="108"/>
      <c r="B401" s="31"/>
      <c r="C401" s="31"/>
      <c r="D401" s="31"/>
      <c r="E401" s="31"/>
      <c r="F401" s="108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6.5" customHeight="1">
      <c r="A402" s="108"/>
      <c r="B402" s="31"/>
      <c r="C402" s="31"/>
      <c r="D402" s="31"/>
      <c r="E402" s="31"/>
      <c r="F402" s="108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6.5" customHeight="1">
      <c r="A403" s="108"/>
      <c r="B403" s="31"/>
      <c r="C403" s="31"/>
      <c r="D403" s="31"/>
      <c r="E403" s="31"/>
      <c r="F403" s="108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6.5" customHeight="1">
      <c r="A404" s="108"/>
      <c r="B404" s="31"/>
      <c r="C404" s="31"/>
      <c r="D404" s="31"/>
      <c r="E404" s="31"/>
      <c r="F404" s="108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6.5" customHeight="1">
      <c r="A405" s="108"/>
      <c r="B405" s="31"/>
      <c r="C405" s="31"/>
      <c r="D405" s="31"/>
      <c r="E405" s="31"/>
      <c r="F405" s="108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6.5" customHeight="1">
      <c r="A406" s="108"/>
      <c r="B406" s="31"/>
      <c r="C406" s="31"/>
      <c r="D406" s="31"/>
      <c r="E406" s="31"/>
      <c r="F406" s="108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6.5" customHeight="1">
      <c r="A407" s="108"/>
      <c r="B407" s="31"/>
      <c r="C407" s="31"/>
      <c r="D407" s="31"/>
      <c r="E407" s="31"/>
      <c r="F407" s="108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6.5" customHeight="1">
      <c r="A408" s="108"/>
      <c r="B408" s="31"/>
      <c r="C408" s="31"/>
      <c r="D408" s="31"/>
      <c r="E408" s="31"/>
      <c r="F408" s="108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6.5" customHeight="1">
      <c r="A409" s="108"/>
      <c r="B409" s="31"/>
      <c r="C409" s="31"/>
      <c r="D409" s="31"/>
      <c r="E409" s="31"/>
      <c r="F409" s="108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6.5" customHeight="1">
      <c r="A410" s="108"/>
      <c r="B410" s="31"/>
      <c r="C410" s="31"/>
      <c r="D410" s="31"/>
      <c r="E410" s="31"/>
      <c r="F410" s="108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6.5" customHeight="1">
      <c r="A411" s="108"/>
      <c r="B411" s="31"/>
      <c r="C411" s="31"/>
      <c r="D411" s="31"/>
      <c r="E411" s="31"/>
      <c r="F411" s="108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6.5" customHeight="1">
      <c r="A412" s="108"/>
      <c r="B412" s="31"/>
      <c r="C412" s="31"/>
      <c r="D412" s="31"/>
      <c r="E412" s="31"/>
      <c r="F412" s="108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6.5" customHeight="1">
      <c r="A413" s="108"/>
      <c r="B413" s="31"/>
      <c r="C413" s="31"/>
      <c r="D413" s="31"/>
      <c r="E413" s="31"/>
      <c r="F413" s="108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6.5" customHeight="1">
      <c r="A414" s="108"/>
      <c r="B414" s="31"/>
      <c r="C414" s="31"/>
      <c r="D414" s="31"/>
      <c r="E414" s="31"/>
      <c r="F414" s="108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6.5" customHeight="1">
      <c r="A415" s="108"/>
      <c r="B415" s="31"/>
      <c r="C415" s="31"/>
      <c r="D415" s="31"/>
      <c r="E415" s="31"/>
      <c r="F415" s="108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6.5" customHeight="1">
      <c r="A416" s="108"/>
      <c r="B416" s="31"/>
      <c r="C416" s="31"/>
      <c r="D416" s="31"/>
      <c r="E416" s="31"/>
      <c r="F416" s="108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6.5" customHeight="1">
      <c r="A417" s="108"/>
      <c r="B417" s="31"/>
      <c r="C417" s="31"/>
      <c r="D417" s="31"/>
      <c r="E417" s="31"/>
      <c r="F417" s="108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6.5" customHeight="1">
      <c r="A418" s="108"/>
      <c r="B418" s="31"/>
      <c r="C418" s="31"/>
      <c r="D418" s="31"/>
      <c r="E418" s="31"/>
      <c r="F418" s="108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6.5" customHeight="1">
      <c r="A419" s="108"/>
      <c r="B419" s="31"/>
      <c r="C419" s="31"/>
      <c r="D419" s="31"/>
      <c r="E419" s="31"/>
      <c r="F419" s="108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6.5" customHeight="1">
      <c r="A420" s="108"/>
      <c r="B420" s="31"/>
      <c r="C420" s="31"/>
      <c r="D420" s="31"/>
      <c r="E420" s="31"/>
      <c r="F420" s="108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6.5" customHeight="1">
      <c r="A421" s="108"/>
      <c r="B421" s="31"/>
      <c r="C421" s="31"/>
      <c r="D421" s="31"/>
      <c r="E421" s="31"/>
      <c r="F421" s="108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6.5" customHeight="1">
      <c r="A422" s="108"/>
      <c r="B422" s="31"/>
      <c r="C422" s="31"/>
      <c r="D422" s="31"/>
      <c r="E422" s="31"/>
      <c r="F422" s="108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6.5" customHeight="1">
      <c r="A423" s="108"/>
      <c r="B423" s="31"/>
      <c r="C423" s="31"/>
      <c r="D423" s="31"/>
      <c r="E423" s="31"/>
      <c r="F423" s="108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6.5" customHeight="1">
      <c r="A424" s="108"/>
      <c r="B424" s="31"/>
      <c r="C424" s="31"/>
      <c r="D424" s="31"/>
      <c r="E424" s="31"/>
      <c r="F424" s="108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6.5" customHeight="1">
      <c r="A425" s="108"/>
      <c r="B425" s="31"/>
      <c r="C425" s="31"/>
      <c r="D425" s="31"/>
      <c r="E425" s="31"/>
      <c r="F425" s="108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6.5" customHeight="1">
      <c r="A426" s="108"/>
      <c r="B426" s="31"/>
      <c r="C426" s="31"/>
      <c r="D426" s="31"/>
      <c r="E426" s="31"/>
      <c r="F426" s="108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6.5" customHeight="1">
      <c r="A427" s="108"/>
      <c r="B427" s="31"/>
      <c r="C427" s="31"/>
      <c r="D427" s="31"/>
      <c r="E427" s="31"/>
      <c r="F427" s="108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6.5" customHeight="1">
      <c r="A428" s="108"/>
      <c r="B428" s="31"/>
      <c r="C428" s="31"/>
      <c r="D428" s="31"/>
      <c r="E428" s="31"/>
      <c r="F428" s="108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6.5" customHeight="1">
      <c r="A429" s="108"/>
      <c r="B429" s="31"/>
      <c r="C429" s="31"/>
      <c r="D429" s="31"/>
      <c r="E429" s="31"/>
      <c r="F429" s="108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6.5" customHeight="1">
      <c r="A430" s="108"/>
      <c r="B430" s="31"/>
      <c r="C430" s="31"/>
      <c r="D430" s="31"/>
      <c r="E430" s="31"/>
      <c r="F430" s="108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6.5" customHeight="1">
      <c r="A431" s="108"/>
      <c r="B431" s="31"/>
      <c r="C431" s="31"/>
      <c r="D431" s="31"/>
      <c r="E431" s="31"/>
      <c r="F431" s="108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6.5" customHeight="1">
      <c r="A432" s="108"/>
      <c r="B432" s="31"/>
      <c r="C432" s="31"/>
      <c r="D432" s="31"/>
      <c r="E432" s="31"/>
      <c r="F432" s="108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6.5" customHeight="1">
      <c r="A433" s="108"/>
      <c r="B433" s="31"/>
      <c r="C433" s="31"/>
      <c r="D433" s="31"/>
      <c r="E433" s="31"/>
      <c r="F433" s="108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6.5" customHeight="1">
      <c r="A434" s="108"/>
      <c r="B434" s="31"/>
      <c r="C434" s="31"/>
      <c r="D434" s="31"/>
      <c r="E434" s="31"/>
      <c r="F434" s="108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6.5" customHeight="1">
      <c r="A435" s="108"/>
      <c r="B435" s="31"/>
      <c r="C435" s="31"/>
      <c r="D435" s="31"/>
      <c r="E435" s="31"/>
      <c r="F435" s="108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6.5" customHeight="1">
      <c r="A436" s="108"/>
      <c r="B436" s="31"/>
      <c r="C436" s="31"/>
      <c r="D436" s="31"/>
      <c r="E436" s="31"/>
      <c r="F436" s="108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6.5" customHeight="1">
      <c r="A437" s="108"/>
      <c r="B437" s="31"/>
      <c r="C437" s="31"/>
      <c r="D437" s="31"/>
      <c r="E437" s="31"/>
      <c r="F437" s="108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6.5" customHeight="1">
      <c r="A438" s="108"/>
      <c r="B438" s="31"/>
      <c r="C438" s="31"/>
      <c r="D438" s="31"/>
      <c r="E438" s="31"/>
      <c r="F438" s="108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6.5" customHeight="1">
      <c r="A439" s="108"/>
      <c r="B439" s="31"/>
      <c r="C439" s="31"/>
      <c r="D439" s="31"/>
      <c r="E439" s="31"/>
      <c r="F439" s="108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6.5" customHeight="1">
      <c r="A440" s="108"/>
      <c r="B440" s="31"/>
      <c r="C440" s="31"/>
      <c r="D440" s="31"/>
      <c r="E440" s="31"/>
      <c r="F440" s="108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6.5" customHeight="1">
      <c r="A441" s="108"/>
      <c r="B441" s="31"/>
      <c r="C441" s="31"/>
      <c r="D441" s="31"/>
      <c r="E441" s="31"/>
      <c r="F441" s="108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6.5" customHeight="1">
      <c r="A442" s="108"/>
      <c r="B442" s="31"/>
      <c r="C442" s="31"/>
      <c r="D442" s="31"/>
      <c r="E442" s="31"/>
      <c r="F442" s="108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6.5" customHeight="1">
      <c r="A443" s="108"/>
      <c r="B443" s="31"/>
      <c r="C443" s="31"/>
      <c r="D443" s="31"/>
      <c r="E443" s="31"/>
      <c r="F443" s="108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6.5" customHeight="1">
      <c r="A444" s="108"/>
      <c r="B444" s="31"/>
      <c r="C444" s="31"/>
      <c r="D444" s="31"/>
      <c r="E444" s="31"/>
      <c r="F444" s="108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6.5" customHeight="1">
      <c r="A445" s="108"/>
      <c r="B445" s="31"/>
      <c r="C445" s="31"/>
      <c r="D445" s="31"/>
      <c r="E445" s="31"/>
      <c r="F445" s="108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6.5" customHeight="1">
      <c r="A446" s="108"/>
      <c r="B446" s="31"/>
      <c r="C446" s="31"/>
      <c r="D446" s="31"/>
      <c r="E446" s="31"/>
      <c r="F446" s="108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6.5" customHeight="1">
      <c r="A447" s="108"/>
      <c r="B447" s="31"/>
      <c r="C447" s="31"/>
      <c r="D447" s="31"/>
      <c r="E447" s="31"/>
      <c r="F447" s="108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6.5" customHeight="1">
      <c r="A448" s="108"/>
      <c r="B448" s="31"/>
      <c r="C448" s="31"/>
      <c r="D448" s="31"/>
      <c r="E448" s="31"/>
      <c r="F448" s="108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6.5" customHeight="1">
      <c r="A449" s="108"/>
      <c r="B449" s="31"/>
      <c r="C449" s="31"/>
      <c r="D449" s="31"/>
      <c r="E449" s="31"/>
      <c r="F449" s="108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6.5" customHeight="1">
      <c r="A450" s="108"/>
      <c r="B450" s="31"/>
      <c r="C450" s="31"/>
      <c r="D450" s="31"/>
      <c r="E450" s="31"/>
      <c r="F450" s="108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6.5" customHeight="1">
      <c r="A451" s="108"/>
      <c r="B451" s="31"/>
      <c r="C451" s="31"/>
      <c r="D451" s="31"/>
      <c r="E451" s="31"/>
      <c r="F451" s="108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6.5" customHeight="1">
      <c r="A452" s="108"/>
      <c r="B452" s="31"/>
      <c r="C452" s="31"/>
      <c r="D452" s="31"/>
      <c r="E452" s="31"/>
      <c r="F452" s="108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6.5" customHeight="1">
      <c r="A453" s="108"/>
      <c r="B453" s="31"/>
      <c r="C453" s="31"/>
      <c r="D453" s="31"/>
      <c r="E453" s="31"/>
      <c r="F453" s="108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6.5" customHeight="1">
      <c r="A454" s="108"/>
      <c r="B454" s="31"/>
      <c r="C454" s="31"/>
      <c r="D454" s="31"/>
      <c r="E454" s="31"/>
      <c r="F454" s="108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6.5" customHeight="1">
      <c r="A455" s="108"/>
      <c r="B455" s="31"/>
      <c r="C455" s="31"/>
      <c r="D455" s="31"/>
      <c r="E455" s="31"/>
      <c r="F455" s="108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6.5" customHeight="1">
      <c r="A456" s="108"/>
      <c r="B456" s="31"/>
      <c r="C456" s="31"/>
      <c r="D456" s="31"/>
      <c r="E456" s="31"/>
      <c r="F456" s="108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6.5" customHeight="1">
      <c r="A457" s="108"/>
      <c r="B457" s="31"/>
      <c r="C457" s="31"/>
      <c r="D457" s="31"/>
      <c r="E457" s="31"/>
      <c r="F457" s="108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6.5" customHeight="1">
      <c r="A458" s="108"/>
      <c r="B458" s="31"/>
      <c r="C458" s="31"/>
      <c r="D458" s="31"/>
      <c r="E458" s="31"/>
      <c r="F458" s="108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6.5" customHeight="1">
      <c r="A459" s="108"/>
      <c r="B459" s="31"/>
      <c r="C459" s="31"/>
      <c r="D459" s="31"/>
      <c r="E459" s="31"/>
      <c r="F459" s="108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6.5" customHeight="1">
      <c r="A460" s="108"/>
      <c r="B460" s="31"/>
      <c r="C460" s="31"/>
      <c r="D460" s="31"/>
      <c r="E460" s="31"/>
      <c r="F460" s="108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6.5" customHeight="1">
      <c r="A461" s="108"/>
      <c r="B461" s="31"/>
      <c r="C461" s="31"/>
      <c r="D461" s="31"/>
      <c r="E461" s="31"/>
      <c r="F461" s="108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6.5" customHeight="1">
      <c r="A462" s="108"/>
      <c r="B462" s="31"/>
      <c r="C462" s="31"/>
      <c r="D462" s="31"/>
      <c r="E462" s="31"/>
      <c r="F462" s="108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6.5" customHeight="1">
      <c r="A463" s="108"/>
      <c r="B463" s="31"/>
      <c r="C463" s="31"/>
      <c r="D463" s="31"/>
      <c r="E463" s="31"/>
      <c r="F463" s="108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6.5" customHeight="1">
      <c r="A464" s="108"/>
      <c r="B464" s="31"/>
      <c r="C464" s="31"/>
      <c r="D464" s="31"/>
      <c r="E464" s="31"/>
      <c r="F464" s="108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6.5" customHeight="1">
      <c r="A465" s="108"/>
      <c r="B465" s="31"/>
      <c r="C465" s="31"/>
      <c r="D465" s="31"/>
      <c r="E465" s="31"/>
      <c r="F465" s="108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6.5" customHeight="1">
      <c r="A466" s="108"/>
      <c r="B466" s="31"/>
      <c r="C466" s="31"/>
      <c r="D466" s="31"/>
      <c r="E466" s="31"/>
      <c r="F466" s="108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6.5" customHeight="1">
      <c r="A467" s="108"/>
      <c r="B467" s="31"/>
      <c r="C467" s="31"/>
      <c r="D467" s="31"/>
      <c r="E467" s="31"/>
      <c r="F467" s="108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6.5" customHeight="1">
      <c r="A468" s="108"/>
      <c r="B468" s="31"/>
      <c r="C468" s="31"/>
      <c r="D468" s="31"/>
      <c r="E468" s="31"/>
      <c r="F468" s="108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6.5" customHeight="1">
      <c r="A469" s="108"/>
      <c r="B469" s="31"/>
      <c r="C469" s="31"/>
      <c r="D469" s="31"/>
      <c r="E469" s="31"/>
      <c r="F469" s="108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6.5" customHeight="1">
      <c r="A470" s="108"/>
      <c r="B470" s="31"/>
      <c r="C470" s="31"/>
      <c r="D470" s="31"/>
      <c r="E470" s="31"/>
      <c r="F470" s="108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6.5" customHeight="1">
      <c r="A471" s="108"/>
      <c r="B471" s="31"/>
      <c r="C471" s="31"/>
      <c r="D471" s="31"/>
      <c r="E471" s="31"/>
      <c r="F471" s="108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6.5" customHeight="1">
      <c r="A472" s="108"/>
      <c r="B472" s="31"/>
      <c r="C472" s="31"/>
      <c r="D472" s="31"/>
      <c r="E472" s="31"/>
      <c r="F472" s="108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6.5" customHeight="1">
      <c r="A473" s="108"/>
      <c r="B473" s="31"/>
      <c r="C473" s="31"/>
      <c r="D473" s="31"/>
      <c r="E473" s="31"/>
      <c r="F473" s="108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6.5" customHeight="1">
      <c r="A474" s="108"/>
      <c r="B474" s="31"/>
      <c r="C474" s="31"/>
      <c r="D474" s="31"/>
      <c r="E474" s="31"/>
      <c r="F474" s="108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6.5" customHeight="1">
      <c r="A475" s="108"/>
      <c r="B475" s="31"/>
      <c r="C475" s="31"/>
      <c r="D475" s="31"/>
      <c r="E475" s="31"/>
      <c r="F475" s="108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6.5" customHeight="1">
      <c r="A476" s="108"/>
      <c r="B476" s="31"/>
      <c r="C476" s="31"/>
      <c r="D476" s="31"/>
      <c r="E476" s="31"/>
      <c r="F476" s="108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6.5" customHeight="1">
      <c r="A477" s="108"/>
      <c r="B477" s="31"/>
      <c r="C477" s="31"/>
      <c r="D477" s="31"/>
      <c r="E477" s="31"/>
      <c r="F477" s="108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6.5" customHeight="1">
      <c r="A478" s="108"/>
      <c r="B478" s="31"/>
      <c r="C478" s="31"/>
      <c r="D478" s="31"/>
      <c r="E478" s="31"/>
      <c r="F478" s="108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6.5" customHeight="1">
      <c r="A479" s="108"/>
      <c r="B479" s="31"/>
      <c r="C479" s="31"/>
      <c r="D479" s="31"/>
      <c r="E479" s="31"/>
      <c r="F479" s="108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6.5" customHeight="1">
      <c r="A480" s="108"/>
      <c r="B480" s="31"/>
      <c r="C480" s="31"/>
      <c r="D480" s="31"/>
      <c r="E480" s="31"/>
      <c r="F480" s="108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6.5" customHeight="1">
      <c r="A481" s="108"/>
      <c r="B481" s="31"/>
      <c r="C481" s="31"/>
      <c r="D481" s="31"/>
      <c r="E481" s="31"/>
      <c r="F481" s="108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6.5" customHeight="1">
      <c r="A482" s="108"/>
      <c r="B482" s="31"/>
      <c r="C482" s="31"/>
      <c r="D482" s="31"/>
      <c r="E482" s="31"/>
      <c r="F482" s="108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6.5" customHeight="1">
      <c r="A483" s="108"/>
      <c r="B483" s="31"/>
      <c r="C483" s="31"/>
      <c r="D483" s="31"/>
      <c r="E483" s="31"/>
      <c r="F483" s="108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6.5" customHeight="1">
      <c r="A484" s="108"/>
      <c r="B484" s="31"/>
      <c r="C484" s="31"/>
      <c r="D484" s="31"/>
      <c r="E484" s="31"/>
      <c r="F484" s="108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6.5" customHeight="1">
      <c r="A485" s="108"/>
      <c r="B485" s="31"/>
      <c r="C485" s="31"/>
      <c r="D485" s="31"/>
      <c r="E485" s="31"/>
      <c r="F485" s="108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6.5" customHeight="1">
      <c r="A486" s="108"/>
      <c r="B486" s="31"/>
      <c r="C486" s="31"/>
      <c r="D486" s="31"/>
      <c r="E486" s="31"/>
      <c r="F486" s="108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6.5" customHeight="1">
      <c r="A487" s="108"/>
      <c r="B487" s="31"/>
      <c r="C487" s="31"/>
      <c r="D487" s="31"/>
      <c r="E487" s="31"/>
      <c r="F487" s="108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6.5" customHeight="1">
      <c r="A488" s="108"/>
      <c r="B488" s="31"/>
      <c r="C488" s="31"/>
      <c r="D488" s="31"/>
      <c r="E488" s="31"/>
      <c r="F488" s="108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6.5" customHeight="1">
      <c r="A489" s="108"/>
      <c r="B489" s="31"/>
      <c r="C489" s="31"/>
      <c r="D489" s="31"/>
      <c r="E489" s="31"/>
      <c r="F489" s="108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6.5" customHeight="1">
      <c r="A490" s="108"/>
      <c r="B490" s="31"/>
      <c r="C490" s="31"/>
      <c r="D490" s="31"/>
      <c r="E490" s="31"/>
      <c r="F490" s="108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6.5" customHeight="1">
      <c r="A491" s="108"/>
      <c r="B491" s="31"/>
      <c r="C491" s="31"/>
      <c r="D491" s="31"/>
      <c r="E491" s="31"/>
      <c r="F491" s="108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6.5" customHeight="1">
      <c r="A492" s="108"/>
      <c r="B492" s="31"/>
      <c r="C492" s="31"/>
      <c r="D492" s="31"/>
      <c r="E492" s="31"/>
      <c r="F492" s="108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6.5" customHeight="1">
      <c r="A493" s="108"/>
      <c r="B493" s="31"/>
      <c r="C493" s="31"/>
      <c r="D493" s="31"/>
      <c r="E493" s="31"/>
      <c r="F493" s="108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6.5" customHeight="1">
      <c r="A494" s="108"/>
      <c r="B494" s="31"/>
      <c r="C494" s="31"/>
      <c r="D494" s="31"/>
      <c r="E494" s="31"/>
      <c r="F494" s="108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6.5" customHeight="1">
      <c r="A495" s="108"/>
      <c r="B495" s="31"/>
      <c r="C495" s="31"/>
      <c r="D495" s="31"/>
      <c r="E495" s="31"/>
      <c r="F495" s="108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6.5" customHeight="1">
      <c r="A496" s="108"/>
      <c r="B496" s="31"/>
      <c r="C496" s="31"/>
      <c r="D496" s="31"/>
      <c r="E496" s="31"/>
      <c r="F496" s="108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6.5" customHeight="1">
      <c r="A497" s="108"/>
      <c r="B497" s="31"/>
      <c r="C497" s="31"/>
      <c r="D497" s="31"/>
      <c r="E497" s="31"/>
      <c r="F497" s="108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6.5" customHeight="1">
      <c r="A498" s="108"/>
      <c r="B498" s="31"/>
      <c r="C498" s="31"/>
      <c r="D498" s="31"/>
      <c r="E498" s="31"/>
      <c r="F498" s="108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6.5" customHeight="1">
      <c r="A499" s="108"/>
      <c r="B499" s="31"/>
      <c r="C499" s="31"/>
      <c r="D499" s="31"/>
      <c r="E499" s="31"/>
      <c r="F499" s="108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6.5" customHeight="1">
      <c r="A500" s="108"/>
      <c r="B500" s="31"/>
      <c r="C500" s="31"/>
      <c r="D500" s="31"/>
      <c r="E500" s="31"/>
      <c r="F500" s="108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6.5" customHeight="1">
      <c r="A501" s="108"/>
      <c r="B501" s="31"/>
      <c r="C501" s="31"/>
      <c r="D501" s="31"/>
      <c r="E501" s="31"/>
      <c r="F501" s="108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6.5" customHeight="1">
      <c r="A502" s="108"/>
      <c r="B502" s="31"/>
      <c r="C502" s="31"/>
      <c r="D502" s="31"/>
      <c r="E502" s="31"/>
      <c r="F502" s="108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6.5" customHeight="1">
      <c r="A503" s="108"/>
      <c r="B503" s="31"/>
      <c r="C503" s="31"/>
      <c r="D503" s="31"/>
      <c r="E503" s="31"/>
      <c r="F503" s="108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6.5" customHeight="1">
      <c r="A504" s="108"/>
      <c r="B504" s="31"/>
      <c r="C504" s="31"/>
      <c r="D504" s="31"/>
      <c r="E504" s="31"/>
      <c r="F504" s="108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6.5" customHeight="1">
      <c r="A505" s="108"/>
      <c r="B505" s="31"/>
      <c r="C505" s="31"/>
      <c r="D505" s="31"/>
      <c r="E505" s="31"/>
      <c r="F505" s="108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6.5" customHeight="1">
      <c r="A506" s="108"/>
      <c r="B506" s="31"/>
      <c r="C506" s="31"/>
      <c r="D506" s="31"/>
      <c r="E506" s="31"/>
      <c r="F506" s="108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6.5" customHeight="1">
      <c r="A507" s="108"/>
      <c r="B507" s="31"/>
      <c r="C507" s="31"/>
      <c r="D507" s="31"/>
      <c r="E507" s="31"/>
      <c r="F507" s="108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6.5" customHeight="1">
      <c r="A508" s="108"/>
      <c r="B508" s="31"/>
      <c r="C508" s="31"/>
      <c r="D508" s="31"/>
      <c r="E508" s="31"/>
      <c r="F508" s="108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6.5" customHeight="1">
      <c r="A509" s="108"/>
      <c r="B509" s="31"/>
      <c r="C509" s="31"/>
      <c r="D509" s="31"/>
      <c r="E509" s="31"/>
      <c r="F509" s="108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6.5" customHeight="1">
      <c r="A510" s="108"/>
      <c r="B510" s="31"/>
      <c r="C510" s="31"/>
      <c r="D510" s="31"/>
      <c r="E510" s="31"/>
      <c r="F510" s="108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6.5" customHeight="1">
      <c r="A511" s="108"/>
      <c r="B511" s="31"/>
      <c r="C511" s="31"/>
      <c r="D511" s="31"/>
      <c r="E511" s="31"/>
      <c r="F511" s="108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6.5" customHeight="1">
      <c r="A512" s="108"/>
      <c r="B512" s="31"/>
      <c r="C512" s="31"/>
      <c r="D512" s="31"/>
      <c r="E512" s="31"/>
      <c r="F512" s="108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6.5" customHeight="1">
      <c r="A513" s="108"/>
      <c r="B513" s="31"/>
      <c r="C513" s="31"/>
      <c r="D513" s="31"/>
      <c r="E513" s="31"/>
      <c r="F513" s="108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6.5" customHeight="1">
      <c r="A514" s="108"/>
      <c r="B514" s="31"/>
      <c r="C514" s="31"/>
      <c r="D514" s="31"/>
      <c r="E514" s="31"/>
      <c r="F514" s="108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6.5" customHeight="1">
      <c r="A515" s="108"/>
      <c r="B515" s="31"/>
      <c r="C515" s="31"/>
      <c r="D515" s="31"/>
      <c r="E515" s="31"/>
      <c r="F515" s="108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6.5" customHeight="1">
      <c r="A516" s="108"/>
      <c r="B516" s="31"/>
      <c r="C516" s="31"/>
      <c r="D516" s="31"/>
      <c r="E516" s="31"/>
      <c r="F516" s="108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6.5" customHeight="1">
      <c r="A517" s="108"/>
      <c r="B517" s="31"/>
      <c r="C517" s="31"/>
      <c r="D517" s="31"/>
      <c r="E517" s="31"/>
      <c r="F517" s="108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6.5" customHeight="1">
      <c r="A518" s="108"/>
      <c r="B518" s="31"/>
      <c r="C518" s="31"/>
      <c r="D518" s="31"/>
      <c r="E518" s="31"/>
      <c r="F518" s="108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6.5" customHeight="1">
      <c r="A519" s="108"/>
      <c r="B519" s="31"/>
      <c r="C519" s="31"/>
      <c r="D519" s="31"/>
      <c r="E519" s="31"/>
      <c r="F519" s="108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6.5" customHeight="1">
      <c r="A520" s="108"/>
      <c r="B520" s="31"/>
      <c r="C520" s="31"/>
      <c r="D520" s="31"/>
      <c r="E520" s="31"/>
      <c r="F520" s="108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6.5" customHeight="1">
      <c r="A521" s="108"/>
      <c r="B521" s="31"/>
      <c r="C521" s="31"/>
      <c r="D521" s="31"/>
      <c r="E521" s="31"/>
      <c r="F521" s="108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6.5" customHeight="1">
      <c r="A522" s="108"/>
      <c r="B522" s="31"/>
      <c r="C522" s="31"/>
      <c r="D522" s="31"/>
      <c r="E522" s="31"/>
      <c r="F522" s="108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6.5" customHeight="1">
      <c r="A523" s="108"/>
      <c r="B523" s="31"/>
      <c r="C523" s="31"/>
      <c r="D523" s="31"/>
      <c r="E523" s="31"/>
      <c r="F523" s="108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6.5" customHeight="1">
      <c r="A524" s="108"/>
      <c r="B524" s="31"/>
      <c r="C524" s="31"/>
      <c r="D524" s="31"/>
      <c r="E524" s="31"/>
      <c r="F524" s="108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6.5" customHeight="1">
      <c r="A525" s="108"/>
      <c r="B525" s="31"/>
      <c r="C525" s="31"/>
      <c r="D525" s="31"/>
      <c r="E525" s="31"/>
      <c r="F525" s="108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6.5" customHeight="1">
      <c r="A526" s="108"/>
      <c r="B526" s="31"/>
      <c r="C526" s="31"/>
      <c r="D526" s="31"/>
      <c r="E526" s="31"/>
      <c r="F526" s="108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6.5" customHeight="1">
      <c r="A527" s="108"/>
      <c r="B527" s="31"/>
      <c r="C527" s="31"/>
      <c r="D527" s="31"/>
      <c r="E527" s="31"/>
      <c r="F527" s="108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6.5" customHeight="1">
      <c r="A528" s="108"/>
      <c r="B528" s="31"/>
      <c r="C528" s="31"/>
      <c r="D528" s="31"/>
      <c r="E528" s="31"/>
      <c r="F528" s="108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6.5" customHeight="1">
      <c r="A529" s="108"/>
      <c r="B529" s="31"/>
      <c r="C529" s="31"/>
      <c r="D529" s="31"/>
      <c r="E529" s="31"/>
      <c r="F529" s="108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6.5" customHeight="1">
      <c r="A530" s="108"/>
      <c r="B530" s="31"/>
      <c r="C530" s="31"/>
      <c r="D530" s="31"/>
      <c r="E530" s="31"/>
      <c r="F530" s="108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6.5" customHeight="1">
      <c r="A531" s="108"/>
      <c r="B531" s="31"/>
      <c r="C531" s="31"/>
      <c r="D531" s="31"/>
      <c r="E531" s="31"/>
      <c r="F531" s="108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6.5" customHeight="1">
      <c r="A532" s="108"/>
      <c r="B532" s="31"/>
      <c r="C532" s="31"/>
      <c r="D532" s="31"/>
      <c r="E532" s="31"/>
      <c r="F532" s="108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6.5" customHeight="1">
      <c r="A533" s="108"/>
      <c r="B533" s="31"/>
      <c r="C533" s="31"/>
      <c r="D533" s="31"/>
      <c r="E533" s="31"/>
      <c r="F533" s="108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6.5" customHeight="1">
      <c r="A534" s="108"/>
      <c r="B534" s="31"/>
      <c r="C534" s="31"/>
      <c r="D534" s="31"/>
      <c r="E534" s="31"/>
      <c r="F534" s="108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6.5" customHeight="1">
      <c r="A535" s="108"/>
      <c r="B535" s="31"/>
      <c r="C535" s="31"/>
      <c r="D535" s="31"/>
      <c r="E535" s="31"/>
      <c r="F535" s="108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6.5" customHeight="1">
      <c r="A536" s="108"/>
      <c r="B536" s="31"/>
      <c r="C536" s="31"/>
      <c r="D536" s="31"/>
      <c r="E536" s="31"/>
      <c r="F536" s="108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6.5" customHeight="1">
      <c r="A537" s="108"/>
      <c r="B537" s="31"/>
      <c r="C537" s="31"/>
      <c r="D537" s="31"/>
      <c r="E537" s="31"/>
      <c r="F537" s="108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6.5" customHeight="1">
      <c r="A538" s="108"/>
      <c r="B538" s="31"/>
      <c r="C538" s="31"/>
      <c r="D538" s="31"/>
      <c r="E538" s="31"/>
      <c r="F538" s="108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6.5" customHeight="1">
      <c r="A539" s="108"/>
      <c r="B539" s="31"/>
      <c r="C539" s="31"/>
      <c r="D539" s="31"/>
      <c r="E539" s="31"/>
      <c r="F539" s="108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6.5" customHeight="1">
      <c r="A540" s="108"/>
      <c r="B540" s="31"/>
      <c r="C540" s="31"/>
      <c r="D540" s="31"/>
      <c r="E540" s="31"/>
      <c r="F540" s="108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6.5" customHeight="1">
      <c r="A541" s="108"/>
      <c r="B541" s="31"/>
      <c r="C541" s="31"/>
      <c r="D541" s="31"/>
      <c r="E541" s="31"/>
      <c r="F541" s="108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6.5" customHeight="1">
      <c r="A542" s="108"/>
      <c r="B542" s="31"/>
      <c r="C542" s="31"/>
      <c r="D542" s="31"/>
      <c r="E542" s="31"/>
      <c r="F542" s="108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6.5" customHeight="1">
      <c r="A543" s="108"/>
      <c r="B543" s="31"/>
      <c r="C543" s="31"/>
      <c r="D543" s="31"/>
      <c r="E543" s="31"/>
      <c r="F543" s="108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6.5" customHeight="1">
      <c r="A544" s="108"/>
      <c r="B544" s="31"/>
      <c r="C544" s="31"/>
      <c r="D544" s="31"/>
      <c r="E544" s="31"/>
      <c r="F544" s="108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6.5" customHeight="1">
      <c r="A545" s="108"/>
      <c r="B545" s="31"/>
      <c r="C545" s="31"/>
      <c r="D545" s="31"/>
      <c r="E545" s="31"/>
      <c r="F545" s="108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6.5" customHeight="1">
      <c r="A546" s="108"/>
      <c r="B546" s="31"/>
      <c r="C546" s="31"/>
      <c r="D546" s="31"/>
      <c r="E546" s="31"/>
      <c r="F546" s="108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6.5" customHeight="1">
      <c r="A547" s="108"/>
      <c r="B547" s="31"/>
      <c r="C547" s="31"/>
      <c r="D547" s="31"/>
      <c r="E547" s="31"/>
      <c r="F547" s="108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6.5" customHeight="1">
      <c r="A548" s="108"/>
      <c r="B548" s="31"/>
      <c r="C548" s="31"/>
      <c r="D548" s="31"/>
      <c r="E548" s="31"/>
      <c r="F548" s="108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6.5" customHeight="1">
      <c r="A549" s="108"/>
      <c r="B549" s="31"/>
      <c r="C549" s="31"/>
      <c r="D549" s="31"/>
      <c r="E549" s="31"/>
      <c r="F549" s="108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6.5" customHeight="1">
      <c r="A550" s="108"/>
      <c r="B550" s="31"/>
      <c r="C550" s="31"/>
      <c r="D550" s="31"/>
      <c r="E550" s="31"/>
      <c r="F550" s="108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6.5" customHeight="1">
      <c r="A551" s="108"/>
      <c r="B551" s="31"/>
      <c r="C551" s="31"/>
      <c r="D551" s="31"/>
      <c r="E551" s="31"/>
      <c r="F551" s="108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6.5" customHeight="1">
      <c r="A552" s="108"/>
      <c r="B552" s="31"/>
      <c r="C552" s="31"/>
      <c r="D552" s="31"/>
      <c r="E552" s="31"/>
      <c r="F552" s="108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6.5" customHeight="1">
      <c r="A553" s="108"/>
      <c r="B553" s="31"/>
      <c r="C553" s="31"/>
      <c r="D553" s="31"/>
      <c r="E553" s="31"/>
      <c r="F553" s="108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6.5" customHeight="1">
      <c r="A554" s="108"/>
      <c r="B554" s="31"/>
      <c r="C554" s="31"/>
      <c r="D554" s="31"/>
      <c r="E554" s="31"/>
      <c r="F554" s="108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6.5" customHeight="1">
      <c r="A555" s="108"/>
      <c r="B555" s="31"/>
      <c r="C555" s="31"/>
      <c r="D555" s="31"/>
      <c r="E555" s="31"/>
      <c r="F555" s="108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6.5" customHeight="1">
      <c r="A556" s="108"/>
      <c r="B556" s="31"/>
      <c r="C556" s="31"/>
      <c r="D556" s="31"/>
      <c r="E556" s="31"/>
      <c r="F556" s="108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6.5" customHeight="1">
      <c r="A557" s="108"/>
      <c r="B557" s="31"/>
      <c r="C557" s="31"/>
      <c r="D557" s="31"/>
      <c r="E557" s="31"/>
      <c r="F557" s="108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6.5" customHeight="1">
      <c r="A558" s="108"/>
      <c r="B558" s="31"/>
      <c r="C558" s="31"/>
      <c r="D558" s="31"/>
      <c r="E558" s="31"/>
      <c r="F558" s="108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6.5" customHeight="1">
      <c r="A559" s="108"/>
      <c r="B559" s="31"/>
      <c r="C559" s="31"/>
      <c r="D559" s="31"/>
      <c r="E559" s="31"/>
      <c r="F559" s="108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6.5" customHeight="1">
      <c r="A560" s="108"/>
      <c r="B560" s="31"/>
      <c r="C560" s="31"/>
      <c r="D560" s="31"/>
      <c r="E560" s="31"/>
      <c r="F560" s="108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6.5" customHeight="1">
      <c r="A561" s="108"/>
      <c r="B561" s="31"/>
      <c r="C561" s="31"/>
      <c r="D561" s="31"/>
      <c r="E561" s="31"/>
      <c r="F561" s="108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6.5" customHeight="1">
      <c r="A562" s="108"/>
      <c r="B562" s="31"/>
      <c r="C562" s="31"/>
      <c r="D562" s="31"/>
      <c r="E562" s="31"/>
      <c r="F562" s="108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6.5" customHeight="1">
      <c r="A563" s="108"/>
      <c r="B563" s="31"/>
      <c r="C563" s="31"/>
      <c r="D563" s="31"/>
      <c r="E563" s="31"/>
      <c r="F563" s="108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6.5" customHeight="1">
      <c r="A564" s="108"/>
      <c r="B564" s="31"/>
      <c r="C564" s="31"/>
      <c r="D564" s="31"/>
      <c r="E564" s="31"/>
      <c r="F564" s="108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6.5" customHeight="1">
      <c r="A565" s="108"/>
      <c r="B565" s="31"/>
      <c r="C565" s="31"/>
      <c r="D565" s="31"/>
      <c r="E565" s="31"/>
      <c r="F565" s="108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6.5" customHeight="1">
      <c r="A566" s="108"/>
      <c r="B566" s="31"/>
      <c r="C566" s="31"/>
      <c r="D566" s="31"/>
      <c r="E566" s="31"/>
      <c r="F566" s="108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6.5" customHeight="1">
      <c r="A567" s="108"/>
      <c r="B567" s="31"/>
      <c r="C567" s="31"/>
      <c r="D567" s="31"/>
      <c r="E567" s="31"/>
      <c r="F567" s="108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6.5" customHeight="1">
      <c r="A568" s="108"/>
      <c r="B568" s="31"/>
      <c r="C568" s="31"/>
      <c r="D568" s="31"/>
      <c r="E568" s="31"/>
      <c r="F568" s="108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6.5" customHeight="1">
      <c r="A569" s="108"/>
      <c r="B569" s="31"/>
      <c r="C569" s="31"/>
      <c r="D569" s="31"/>
      <c r="E569" s="31"/>
      <c r="F569" s="108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6.5" customHeight="1">
      <c r="A570" s="108"/>
      <c r="B570" s="31"/>
      <c r="C570" s="31"/>
      <c r="D570" s="31"/>
      <c r="E570" s="31"/>
      <c r="F570" s="108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6.5" customHeight="1">
      <c r="A571" s="108"/>
      <c r="B571" s="31"/>
      <c r="C571" s="31"/>
      <c r="D571" s="31"/>
      <c r="E571" s="31"/>
      <c r="F571" s="108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6.5" customHeight="1">
      <c r="A572" s="108"/>
      <c r="B572" s="31"/>
      <c r="C572" s="31"/>
      <c r="D572" s="31"/>
      <c r="E572" s="31"/>
      <c r="F572" s="108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6.5" customHeight="1">
      <c r="A573" s="108"/>
      <c r="B573" s="31"/>
      <c r="C573" s="31"/>
      <c r="D573" s="31"/>
      <c r="E573" s="31"/>
      <c r="F573" s="108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6.5" customHeight="1">
      <c r="A574" s="108"/>
      <c r="B574" s="31"/>
      <c r="C574" s="31"/>
      <c r="D574" s="31"/>
      <c r="E574" s="31"/>
      <c r="F574" s="108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6.5" customHeight="1">
      <c r="A575" s="108"/>
      <c r="B575" s="31"/>
      <c r="C575" s="31"/>
      <c r="D575" s="31"/>
      <c r="E575" s="31"/>
      <c r="F575" s="108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6.5" customHeight="1">
      <c r="A576" s="108"/>
      <c r="B576" s="31"/>
      <c r="C576" s="31"/>
      <c r="D576" s="31"/>
      <c r="E576" s="31"/>
      <c r="F576" s="108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6.5" customHeight="1">
      <c r="A577" s="108"/>
      <c r="B577" s="31"/>
      <c r="C577" s="31"/>
      <c r="D577" s="31"/>
      <c r="E577" s="31"/>
      <c r="F577" s="108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6.5" customHeight="1">
      <c r="A578" s="108"/>
      <c r="B578" s="31"/>
      <c r="C578" s="31"/>
      <c r="D578" s="31"/>
      <c r="E578" s="31"/>
      <c r="F578" s="108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6.5" customHeight="1">
      <c r="A579" s="108"/>
      <c r="B579" s="31"/>
      <c r="C579" s="31"/>
      <c r="D579" s="31"/>
      <c r="E579" s="31"/>
      <c r="F579" s="108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6.5" customHeight="1">
      <c r="A580" s="108"/>
      <c r="B580" s="31"/>
      <c r="C580" s="31"/>
      <c r="D580" s="31"/>
      <c r="E580" s="31"/>
      <c r="F580" s="108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6.5" customHeight="1">
      <c r="A581" s="108"/>
      <c r="B581" s="31"/>
      <c r="C581" s="31"/>
      <c r="D581" s="31"/>
      <c r="E581" s="31"/>
      <c r="F581" s="108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6.5" customHeight="1">
      <c r="A582" s="108"/>
      <c r="B582" s="31"/>
      <c r="C582" s="31"/>
      <c r="D582" s="31"/>
      <c r="E582" s="31"/>
      <c r="F582" s="108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6.5" customHeight="1">
      <c r="A583" s="108"/>
      <c r="B583" s="31"/>
      <c r="C583" s="31"/>
      <c r="D583" s="31"/>
      <c r="E583" s="31"/>
      <c r="F583" s="108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6.5" customHeight="1">
      <c r="A584" s="108"/>
      <c r="B584" s="31"/>
      <c r="C584" s="31"/>
      <c r="D584" s="31"/>
      <c r="E584" s="31"/>
      <c r="F584" s="108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6.5" customHeight="1">
      <c r="A585" s="108"/>
      <c r="B585" s="31"/>
      <c r="C585" s="31"/>
      <c r="D585" s="31"/>
      <c r="E585" s="31"/>
      <c r="F585" s="108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6.5" customHeight="1">
      <c r="A586" s="108"/>
      <c r="B586" s="31"/>
      <c r="C586" s="31"/>
      <c r="D586" s="31"/>
      <c r="E586" s="31"/>
      <c r="F586" s="108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6.5" customHeight="1">
      <c r="A587" s="108"/>
      <c r="B587" s="31"/>
      <c r="C587" s="31"/>
      <c r="D587" s="31"/>
      <c r="E587" s="31"/>
      <c r="F587" s="108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6.5" customHeight="1">
      <c r="A588" s="108"/>
      <c r="B588" s="31"/>
      <c r="C588" s="31"/>
      <c r="D588" s="31"/>
      <c r="E588" s="31"/>
      <c r="F588" s="108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6.5" customHeight="1">
      <c r="A589" s="108"/>
      <c r="B589" s="31"/>
      <c r="C589" s="31"/>
      <c r="D589" s="31"/>
      <c r="E589" s="31"/>
      <c r="F589" s="108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6.5" customHeight="1">
      <c r="A590" s="108"/>
      <c r="B590" s="31"/>
      <c r="C590" s="31"/>
      <c r="D590" s="31"/>
      <c r="E590" s="31"/>
      <c r="F590" s="108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6.5" customHeight="1">
      <c r="A591" s="108"/>
      <c r="B591" s="31"/>
      <c r="C591" s="31"/>
      <c r="D591" s="31"/>
      <c r="E591" s="31"/>
      <c r="F591" s="108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6.5" customHeight="1">
      <c r="A592" s="108"/>
      <c r="B592" s="31"/>
      <c r="C592" s="31"/>
      <c r="D592" s="31"/>
      <c r="E592" s="31"/>
      <c r="F592" s="108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6.5" customHeight="1">
      <c r="A593" s="108"/>
      <c r="B593" s="31"/>
      <c r="C593" s="31"/>
      <c r="D593" s="31"/>
      <c r="E593" s="31"/>
      <c r="F593" s="108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6.5" customHeight="1">
      <c r="A594" s="108"/>
      <c r="B594" s="31"/>
      <c r="C594" s="31"/>
      <c r="D594" s="31"/>
      <c r="E594" s="31"/>
      <c r="F594" s="108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6.5" customHeight="1">
      <c r="A595" s="108"/>
      <c r="B595" s="31"/>
      <c r="C595" s="31"/>
      <c r="D595" s="31"/>
      <c r="E595" s="31"/>
      <c r="F595" s="108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6.5" customHeight="1">
      <c r="A596" s="108"/>
      <c r="B596" s="31"/>
      <c r="C596" s="31"/>
      <c r="D596" s="31"/>
      <c r="E596" s="31"/>
      <c r="F596" s="108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6.5" customHeight="1">
      <c r="A597" s="108"/>
      <c r="B597" s="31"/>
      <c r="C597" s="31"/>
      <c r="D597" s="31"/>
      <c r="E597" s="31"/>
      <c r="F597" s="108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6.5" customHeight="1">
      <c r="A598" s="108"/>
      <c r="B598" s="31"/>
      <c r="C598" s="31"/>
      <c r="D598" s="31"/>
      <c r="E598" s="31"/>
      <c r="F598" s="108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6.5" customHeight="1">
      <c r="A599" s="108"/>
      <c r="B599" s="31"/>
      <c r="C599" s="31"/>
      <c r="D599" s="31"/>
      <c r="E599" s="31"/>
      <c r="F599" s="108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6.5" customHeight="1">
      <c r="A600" s="108"/>
      <c r="B600" s="31"/>
      <c r="C600" s="31"/>
      <c r="D600" s="31"/>
      <c r="E600" s="31"/>
      <c r="F600" s="108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6.5" customHeight="1">
      <c r="A601" s="108"/>
      <c r="B601" s="31"/>
      <c r="C601" s="31"/>
      <c r="D601" s="31"/>
      <c r="E601" s="31"/>
      <c r="F601" s="108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6.5" customHeight="1">
      <c r="A602" s="108"/>
      <c r="B602" s="31"/>
      <c r="C602" s="31"/>
      <c r="D602" s="31"/>
      <c r="E602" s="31"/>
      <c r="F602" s="108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6.5" customHeight="1">
      <c r="A603" s="108"/>
      <c r="B603" s="31"/>
      <c r="C603" s="31"/>
      <c r="D603" s="31"/>
      <c r="E603" s="31"/>
      <c r="F603" s="108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6.5" customHeight="1">
      <c r="A604" s="108"/>
      <c r="B604" s="31"/>
      <c r="C604" s="31"/>
      <c r="D604" s="31"/>
      <c r="E604" s="31"/>
      <c r="F604" s="108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6.5" customHeight="1">
      <c r="A605" s="108"/>
      <c r="B605" s="31"/>
      <c r="C605" s="31"/>
      <c r="D605" s="31"/>
      <c r="E605" s="31"/>
      <c r="F605" s="108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6.5" customHeight="1">
      <c r="A606" s="108"/>
      <c r="B606" s="31"/>
      <c r="C606" s="31"/>
      <c r="D606" s="31"/>
      <c r="E606" s="31"/>
      <c r="F606" s="108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6.5" customHeight="1">
      <c r="A607" s="108"/>
      <c r="B607" s="31"/>
      <c r="C607" s="31"/>
      <c r="D607" s="31"/>
      <c r="E607" s="31"/>
      <c r="F607" s="108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6.5" customHeight="1">
      <c r="A608" s="108"/>
      <c r="B608" s="31"/>
      <c r="C608" s="31"/>
      <c r="D608" s="31"/>
      <c r="E608" s="31"/>
      <c r="F608" s="108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6.5" customHeight="1">
      <c r="A609" s="108"/>
      <c r="B609" s="31"/>
      <c r="C609" s="31"/>
      <c r="D609" s="31"/>
      <c r="E609" s="31"/>
      <c r="F609" s="108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6.5" customHeight="1">
      <c r="A610" s="108"/>
      <c r="B610" s="31"/>
      <c r="C610" s="31"/>
      <c r="D610" s="31"/>
      <c r="E610" s="31"/>
      <c r="F610" s="108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6.5" customHeight="1">
      <c r="A611" s="108"/>
      <c r="B611" s="31"/>
      <c r="C611" s="31"/>
      <c r="D611" s="31"/>
      <c r="E611" s="31"/>
      <c r="F611" s="108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6.5" customHeight="1">
      <c r="A612" s="108"/>
      <c r="B612" s="31"/>
      <c r="C612" s="31"/>
      <c r="D612" s="31"/>
      <c r="E612" s="31"/>
      <c r="F612" s="108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6.5" customHeight="1">
      <c r="A613" s="108"/>
      <c r="B613" s="31"/>
      <c r="C613" s="31"/>
      <c r="D613" s="31"/>
      <c r="E613" s="31"/>
      <c r="F613" s="108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6.5" customHeight="1">
      <c r="A614" s="108"/>
      <c r="B614" s="31"/>
      <c r="C614" s="31"/>
      <c r="D614" s="31"/>
      <c r="E614" s="31"/>
      <c r="F614" s="108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6.5" customHeight="1">
      <c r="A615" s="108"/>
      <c r="B615" s="31"/>
      <c r="C615" s="31"/>
      <c r="D615" s="31"/>
      <c r="E615" s="31"/>
      <c r="F615" s="108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6.5" customHeight="1">
      <c r="A616" s="108"/>
      <c r="B616" s="31"/>
      <c r="C616" s="31"/>
      <c r="D616" s="31"/>
      <c r="E616" s="31"/>
      <c r="F616" s="108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6.5" customHeight="1">
      <c r="A617" s="108"/>
      <c r="B617" s="31"/>
      <c r="C617" s="31"/>
      <c r="D617" s="31"/>
      <c r="E617" s="31"/>
      <c r="F617" s="108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6.5" customHeight="1">
      <c r="A618" s="108"/>
      <c r="B618" s="31"/>
      <c r="C618" s="31"/>
      <c r="D618" s="31"/>
      <c r="E618" s="31"/>
      <c r="F618" s="108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6.5" customHeight="1">
      <c r="A619" s="108"/>
      <c r="B619" s="31"/>
      <c r="C619" s="31"/>
      <c r="D619" s="31"/>
      <c r="E619" s="31"/>
      <c r="F619" s="108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6.5" customHeight="1">
      <c r="A620" s="108"/>
      <c r="B620" s="31"/>
      <c r="C620" s="31"/>
      <c r="D620" s="31"/>
      <c r="E620" s="31"/>
      <c r="F620" s="108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6.5" customHeight="1">
      <c r="A621" s="108"/>
      <c r="B621" s="31"/>
      <c r="C621" s="31"/>
      <c r="D621" s="31"/>
      <c r="E621" s="31"/>
      <c r="F621" s="108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6.5" customHeight="1">
      <c r="A622" s="108"/>
      <c r="B622" s="31"/>
      <c r="C622" s="31"/>
      <c r="D622" s="31"/>
      <c r="E622" s="31"/>
      <c r="F622" s="108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6.5" customHeight="1">
      <c r="A623" s="108"/>
      <c r="B623" s="31"/>
      <c r="C623" s="31"/>
      <c r="D623" s="31"/>
      <c r="E623" s="31"/>
      <c r="F623" s="108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6.5" customHeight="1">
      <c r="A624" s="108"/>
      <c r="B624" s="31"/>
      <c r="C624" s="31"/>
      <c r="D624" s="31"/>
      <c r="E624" s="31"/>
      <c r="F624" s="108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6.5" customHeight="1">
      <c r="A625" s="108"/>
      <c r="B625" s="31"/>
      <c r="C625" s="31"/>
      <c r="D625" s="31"/>
      <c r="E625" s="31"/>
      <c r="F625" s="108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6.5" customHeight="1">
      <c r="A626" s="108"/>
      <c r="B626" s="31"/>
      <c r="C626" s="31"/>
      <c r="D626" s="31"/>
      <c r="E626" s="31"/>
      <c r="F626" s="108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6.5" customHeight="1">
      <c r="A627" s="108"/>
      <c r="B627" s="31"/>
      <c r="C627" s="31"/>
      <c r="D627" s="31"/>
      <c r="E627" s="31"/>
      <c r="F627" s="108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6.5" customHeight="1">
      <c r="A628" s="108"/>
      <c r="B628" s="31"/>
      <c r="C628" s="31"/>
      <c r="D628" s="31"/>
      <c r="E628" s="31"/>
      <c r="F628" s="108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6.5" customHeight="1">
      <c r="A629" s="108"/>
      <c r="B629" s="31"/>
      <c r="C629" s="31"/>
      <c r="D629" s="31"/>
      <c r="E629" s="31"/>
      <c r="F629" s="108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6.5" customHeight="1">
      <c r="A630" s="108"/>
      <c r="B630" s="31"/>
      <c r="C630" s="31"/>
      <c r="D630" s="31"/>
      <c r="E630" s="31"/>
      <c r="F630" s="108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6.5" customHeight="1">
      <c r="A631" s="108"/>
      <c r="B631" s="31"/>
      <c r="C631" s="31"/>
      <c r="D631" s="31"/>
      <c r="E631" s="31"/>
      <c r="F631" s="108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6.5" customHeight="1">
      <c r="A632" s="108"/>
      <c r="B632" s="31"/>
      <c r="C632" s="31"/>
      <c r="D632" s="31"/>
      <c r="E632" s="31"/>
      <c r="F632" s="108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6.5" customHeight="1">
      <c r="A633" s="108"/>
      <c r="B633" s="31"/>
      <c r="C633" s="31"/>
      <c r="D633" s="31"/>
      <c r="E633" s="31"/>
      <c r="F633" s="108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6.5" customHeight="1">
      <c r="A634" s="108"/>
      <c r="B634" s="31"/>
      <c r="C634" s="31"/>
      <c r="D634" s="31"/>
      <c r="E634" s="31"/>
      <c r="F634" s="108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6.5" customHeight="1">
      <c r="A635" s="108"/>
      <c r="B635" s="31"/>
      <c r="C635" s="31"/>
      <c r="D635" s="31"/>
      <c r="E635" s="31"/>
      <c r="F635" s="108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6.5" customHeight="1">
      <c r="A636" s="108"/>
      <c r="B636" s="31"/>
      <c r="C636" s="31"/>
      <c r="D636" s="31"/>
      <c r="E636" s="31"/>
      <c r="F636" s="108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6.5" customHeight="1">
      <c r="A637" s="108"/>
      <c r="B637" s="31"/>
      <c r="C637" s="31"/>
      <c r="D637" s="31"/>
      <c r="E637" s="31"/>
      <c r="F637" s="108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6.5" customHeight="1">
      <c r="A638" s="108"/>
      <c r="B638" s="31"/>
      <c r="C638" s="31"/>
      <c r="D638" s="31"/>
      <c r="E638" s="31"/>
      <c r="F638" s="108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6.5" customHeight="1">
      <c r="A639" s="108"/>
      <c r="B639" s="31"/>
      <c r="C639" s="31"/>
      <c r="D639" s="31"/>
      <c r="E639" s="31"/>
      <c r="F639" s="108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6.5" customHeight="1">
      <c r="A640" s="108"/>
      <c r="B640" s="31"/>
      <c r="C640" s="31"/>
      <c r="D640" s="31"/>
      <c r="E640" s="31"/>
      <c r="F640" s="108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6.5" customHeight="1">
      <c r="A641" s="108"/>
      <c r="B641" s="31"/>
      <c r="C641" s="31"/>
      <c r="D641" s="31"/>
      <c r="E641" s="31"/>
      <c r="F641" s="108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6.5" customHeight="1">
      <c r="A642" s="108"/>
      <c r="B642" s="31"/>
      <c r="C642" s="31"/>
      <c r="D642" s="31"/>
      <c r="E642" s="31"/>
      <c r="F642" s="108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6.5" customHeight="1">
      <c r="A643" s="108"/>
      <c r="B643" s="31"/>
      <c r="C643" s="31"/>
      <c r="D643" s="31"/>
      <c r="E643" s="31"/>
      <c r="F643" s="108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6.5" customHeight="1">
      <c r="A644" s="108"/>
      <c r="B644" s="31"/>
      <c r="C644" s="31"/>
      <c r="D644" s="31"/>
      <c r="E644" s="31"/>
      <c r="F644" s="108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6.5" customHeight="1">
      <c r="A645" s="108"/>
      <c r="B645" s="31"/>
      <c r="C645" s="31"/>
      <c r="D645" s="31"/>
      <c r="E645" s="31"/>
      <c r="F645" s="108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6.5" customHeight="1">
      <c r="A646" s="108"/>
      <c r="B646" s="31"/>
      <c r="C646" s="31"/>
      <c r="D646" s="31"/>
      <c r="E646" s="31"/>
      <c r="F646" s="108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6.5" customHeight="1">
      <c r="A647" s="108"/>
      <c r="B647" s="31"/>
      <c r="C647" s="31"/>
      <c r="D647" s="31"/>
      <c r="E647" s="31"/>
      <c r="F647" s="108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6.5" customHeight="1">
      <c r="A648" s="108"/>
      <c r="B648" s="31"/>
      <c r="C648" s="31"/>
      <c r="D648" s="31"/>
      <c r="E648" s="31"/>
      <c r="F648" s="108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6.5" customHeight="1">
      <c r="A649" s="108"/>
      <c r="B649" s="31"/>
      <c r="C649" s="31"/>
      <c r="D649" s="31"/>
      <c r="E649" s="31"/>
      <c r="F649" s="108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6.5" customHeight="1">
      <c r="A650" s="108"/>
      <c r="B650" s="31"/>
      <c r="C650" s="31"/>
      <c r="D650" s="31"/>
      <c r="E650" s="31"/>
      <c r="F650" s="108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6.5" customHeight="1">
      <c r="A651" s="108"/>
      <c r="B651" s="31"/>
      <c r="C651" s="31"/>
      <c r="D651" s="31"/>
      <c r="E651" s="31"/>
      <c r="F651" s="108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6.5" customHeight="1">
      <c r="A652" s="108"/>
      <c r="B652" s="31"/>
      <c r="C652" s="31"/>
      <c r="D652" s="31"/>
      <c r="E652" s="31"/>
      <c r="F652" s="108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6.5" customHeight="1">
      <c r="A653" s="108"/>
      <c r="B653" s="31"/>
      <c r="C653" s="31"/>
      <c r="D653" s="31"/>
      <c r="E653" s="31"/>
      <c r="F653" s="108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6.5" customHeight="1">
      <c r="A654" s="108"/>
      <c r="B654" s="31"/>
      <c r="C654" s="31"/>
      <c r="D654" s="31"/>
      <c r="E654" s="31"/>
      <c r="F654" s="108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6.5" customHeight="1">
      <c r="A655" s="108"/>
      <c r="B655" s="31"/>
      <c r="C655" s="31"/>
      <c r="D655" s="31"/>
      <c r="E655" s="31"/>
      <c r="F655" s="108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6.5" customHeight="1">
      <c r="A656" s="108"/>
      <c r="B656" s="31"/>
      <c r="C656" s="31"/>
      <c r="D656" s="31"/>
      <c r="E656" s="31"/>
      <c r="F656" s="108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6.5" customHeight="1">
      <c r="A657" s="108"/>
      <c r="B657" s="31"/>
      <c r="C657" s="31"/>
      <c r="D657" s="31"/>
      <c r="E657" s="31"/>
      <c r="F657" s="108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6.5" customHeight="1">
      <c r="A658" s="108"/>
      <c r="B658" s="31"/>
      <c r="C658" s="31"/>
      <c r="D658" s="31"/>
      <c r="E658" s="31"/>
      <c r="F658" s="108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6.5" customHeight="1">
      <c r="A659" s="108"/>
      <c r="B659" s="31"/>
      <c r="C659" s="31"/>
      <c r="D659" s="31"/>
      <c r="E659" s="31"/>
      <c r="F659" s="108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6.5" customHeight="1">
      <c r="A660" s="108"/>
      <c r="B660" s="31"/>
      <c r="C660" s="31"/>
      <c r="D660" s="31"/>
      <c r="E660" s="31"/>
      <c r="F660" s="108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6.5" customHeight="1">
      <c r="A661" s="108"/>
      <c r="B661" s="31"/>
      <c r="C661" s="31"/>
      <c r="D661" s="31"/>
      <c r="E661" s="31"/>
      <c r="F661" s="108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6.5" customHeight="1">
      <c r="A662" s="108"/>
      <c r="B662" s="31"/>
      <c r="C662" s="31"/>
      <c r="D662" s="31"/>
      <c r="E662" s="31"/>
      <c r="F662" s="108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6.5" customHeight="1">
      <c r="A663" s="108"/>
      <c r="B663" s="31"/>
      <c r="C663" s="31"/>
      <c r="D663" s="31"/>
      <c r="E663" s="31"/>
      <c r="F663" s="108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6.5" customHeight="1">
      <c r="A664" s="108"/>
      <c r="B664" s="31"/>
      <c r="C664" s="31"/>
      <c r="D664" s="31"/>
      <c r="E664" s="31"/>
      <c r="F664" s="108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6.5" customHeight="1">
      <c r="A665" s="108"/>
      <c r="B665" s="31"/>
      <c r="C665" s="31"/>
      <c r="D665" s="31"/>
      <c r="E665" s="31"/>
      <c r="F665" s="108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6.5" customHeight="1">
      <c r="A666" s="108"/>
      <c r="B666" s="31"/>
      <c r="C666" s="31"/>
      <c r="D666" s="31"/>
      <c r="E666" s="31"/>
      <c r="F666" s="108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6.5" customHeight="1">
      <c r="A667" s="108"/>
      <c r="B667" s="31"/>
      <c r="C667" s="31"/>
      <c r="D667" s="31"/>
      <c r="E667" s="31"/>
      <c r="F667" s="108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6.5" customHeight="1">
      <c r="A668" s="108"/>
      <c r="B668" s="31"/>
      <c r="C668" s="31"/>
      <c r="D668" s="31"/>
      <c r="E668" s="31"/>
      <c r="F668" s="108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6.5" customHeight="1">
      <c r="A669" s="108"/>
      <c r="B669" s="31"/>
      <c r="C669" s="31"/>
      <c r="D669" s="31"/>
      <c r="E669" s="31"/>
      <c r="F669" s="108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6.5" customHeight="1">
      <c r="A670" s="108"/>
      <c r="B670" s="31"/>
      <c r="C670" s="31"/>
      <c r="D670" s="31"/>
      <c r="E670" s="31"/>
      <c r="F670" s="108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6.5" customHeight="1">
      <c r="A671" s="108"/>
      <c r="B671" s="31"/>
      <c r="C671" s="31"/>
      <c r="D671" s="31"/>
      <c r="E671" s="31"/>
      <c r="F671" s="108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6.5" customHeight="1">
      <c r="A672" s="108"/>
      <c r="B672" s="31"/>
      <c r="C672" s="31"/>
      <c r="D672" s="31"/>
      <c r="E672" s="31"/>
      <c r="F672" s="108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6.5" customHeight="1">
      <c r="A673" s="108"/>
      <c r="B673" s="31"/>
      <c r="C673" s="31"/>
      <c r="D673" s="31"/>
      <c r="E673" s="31"/>
      <c r="F673" s="108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6.5" customHeight="1">
      <c r="A674" s="108"/>
      <c r="B674" s="31"/>
      <c r="C674" s="31"/>
      <c r="D674" s="31"/>
      <c r="E674" s="31"/>
      <c r="F674" s="108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6.5" customHeight="1">
      <c r="A675" s="108"/>
      <c r="B675" s="31"/>
      <c r="C675" s="31"/>
      <c r="D675" s="31"/>
      <c r="E675" s="31"/>
      <c r="F675" s="108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6.5" customHeight="1">
      <c r="A676" s="108"/>
      <c r="B676" s="31"/>
      <c r="C676" s="31"/>
      <c r="D676" s="31"/>
      <c r="E676" s="31"/>
      <c r="F676" s="108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6.5" customHeight="1">
      <c r="A677" s="108"/>
      <c r="B677" s="31"/>
      <c r="C677" s="31"/>
      <c r="D677" s="31"/>
      <c r="E677" s="31"/>
      <c r="F677" s="108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6.5" customHeight="1">
      <c r="A678" s="108"/>
      <c r="B678" s="31"/>
      <c r="C678" s="31"/>
      <c r="D678" s="31"/>
      <c r="E678" s="31"/>
      <c r="F678" s="108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6.5" customHeight="1">
      <c r="A679" s="108"/>
      <c r="B679" s="31"/>
      <c r="C679" s="31"/>
      <c r="D679" s="31"/>
      <c r="E679" s="31"/>
      <c r="F679" s="108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6.5" customHeight="1">
      <c r="A680" s="108"/>
      <c r="B680" s="31"/>
      <c r="C680" s="31"/>
      <c r="D680" s="31"/>
      <c r="E680" s="31"/>
      <c r="F680" s="108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6.5" customHeight="1">
      <c r="A681" s="108"/>
      <c r="B681" s="31"/>
      <c r="C681" s="31"/>
      <c r="D681" s="31"/>
      <c r="E681" s="31"/>
      <c r="F681" s="108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6.5" customHeight="1">
      <c r="A682" s="108"/>
      <c r="B682" s="31"/>
      <c r="C682" s="31"/>
      <c r="D682" s="31"/>
      <c r="E682" s="31"/>
      <c r="F682" s="108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6.5" customHeight="1">
      <c r="A683" s="108"/>
      <c r="B683" s="31"/>
      <c r="C683" s="31"/>
      <c r="D683" s="31"/>
      <c r="E683" s="31"/>
      <c r="F683" s="108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6.5" customHeight="1">
      <c r="A684" s="108"/>
      <c r="B684" s="31"/>
      <c r="C684" s="31"/>
      <c r="D684" s="31"/>
      <c r="E684" s="31"/>
      <c r="F684" s="108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6.5" customHeight="1">
      <c r="A685" s="108"/>
      <c r="B685" s="31"/>
      <c r="C685" s="31"/>
      <c r="D685" s="31"/>
      <c r="E685" s="31"/>
      <c r="F685" s="108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6.5" customHeight="1">
      <c r="A686" s="108"/>
      <c r="B686" s="31"/>
      <c r="C686" s="31"/>
      <c r="D686" s="31"/>
      <c r="E686" s="31"/>
      <c r="F686" s="108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6.5" customHeight="1">
      <c r="A687" s="108"/>
      <c r="B687" s="31"/>
      <c r="C687" s="31"/>
      <c r="D687" s="31"/>
      <c r="E687" s="31"/>
      <c r="F687" s="108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6.5" customHeight="1">
      <c r="A688" s="108"/>
      <c r="B688" s="31"/>
      <c r="C688" s="31"/>
      <c r="D688" s="31"/>
      <c r="E688" s="31"/>
      <c r="F688" s="108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6.5" customHeight="1">
      <c r="A689" s="108"/>
      <c r="B689" s="31"/>
      <c r="C689" s="31"/>
      <c r="D689" s="31"/>
      <c r="E689" s="31"/>
      <c r="F689" s="108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6.5" customHeight="1">
      <c r="A690" s="108"/>
      <c r="B690" s="31"/>
      <c r="C690" s="31"/>
      <c r="D690" s="31"/>
      <c r="E690" s="31"/>
      <c r="F690" s="108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6.5" customHeight="1">
      <c r="A691" s="108"/>
      <c r="B691" s="31"/>
      <c r="C691" s="31"/>
      <c r="D691" s="31"/>
      <c r="E691" s="31"/>
      <c r="F691" s="108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6.5" customHeight="1">
      <c r="A692" s="108"/>
      <c r="B692" s="31"/>
      <c r="C692" s="31"/>
      <c r="D692" s="31"/>
      <c r="E692" s="31"/>
      <c r="F692" s="108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6.5" customHeight="1">
      <c r="A693" s="108"/>
      <c r="B693" s="31"/>
      <c r="C693" s="31"/>
      <c r="D693" s="31"/>
      <c r="E693" s="31"/>
      <c r="F693" s="108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6.5" customHeight="1">
      <c r="A694" s="108"/>
      <c r="B694" s="31"/>
      <c r="C694" s="31"/>
      <c r="D694" s="31"/>
      <c r="E694" s="31"/>
      <c r="F694" s="108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6.5" customHeight="1">
      <c r="A695" s="108"/>
      <c r="B695" s="31"/>
      <c r="C695" s="31"/>
      <c r="D695" s="31"/>
      <c r="E695" s="31"/>
      <c r="F695" s="108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6.5" customHeight="1">
      <c r="A696" s="108"/>
      <c r="B696" s="31"/>
      <c r="C696" s="31"/>
      <c r="D696" s="31"/>
      <c r="E696" s="31"/>
      <c r="F696" s="108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6.5" customHeight="1">
      <c r="A697" s="108"/>
      <c r="B697" s="31"/>
      <c r="C697" s="31"/>
      <c r="D697" s="31"/>
      <c r="E697" s="31"/>
      <c r="F697" s="108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6.5" customHeight="1">
      <c r="A698" s="108"/>
      <c r="B698" s="31"/>
      <c r="C698" s="31"/>
      <c r="D698" s="31"/>
      <c r="E698" s="31"/>
      <c r="F698" s="108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6.5" customHeight="1">
      <c r="A699" s="108"/>
      <c r="B699" s="31"/>
      <c r="C699" s="31"/>
      <c r="D699" s="31"/>
      <c r="E699" s="31"/>
      <c r="F699" s="108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6.5" customHeight="1">
      <c r="A700" s="108"/>
      <c r="B700" s="31"/>
      <c r="C700" s="31"/>
      <c r="D700" s="31"/>
      <c r="E700" s="31"/>
      <c r="F700" s="108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6.5" customHeight="1">
      <c r="A701" s="108"/>
      <c r="B701" s="31"/>
      <c r="C701" s="31"/>
      <c r="D701" s="31"/>
      <c r="E701" s="31"/>
      <c r="F701" s="108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6.5" customHeight="1">
      <c r="A702" s="108"/>
      <c r="B702" s="31"/>
      <c r="C702" s="31"/>
      <c r="D702" s="31"/>
      <c r="E702" s="31"/>
      <c r="F702" s="108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6.5" customHeight="1">
      <c r="A703" s="108"/>
      <c r="B703" s="31"/>
      <c r="C703" s="31"/>
      <c r="D703" s="31"/>
      <c r="E703" s="31"/>
      <c r="F703" s="108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6.5" customHeight="1">
      <c r="A704" s="108"/>
      <c r="B704" s="31"/>
      <c r="C704" s="31"/>
      <c r="D704" s="31"/>
      <c r="E704" s="31"/>
      <c r="F704" s="108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6.5" customHeight="1">
      <c r="A705" s="108"/>
      <c r="B705" s="31"/>
      <c r="C705" s="31"/>
      <c r="D705" s="31"/>
      <c r="E705" s="31"/>
      <c r="F705" s="108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6.5" customHeight="1">
      <c r="A706" s="108"/>
      <c r="B706" s="31"/>
      <c r="C706" s="31"/>
      <c r="D706" s="31"/>
      <c r="E706" s="31"/>
      <c r="F706" s="108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6.5" customHeight="1">
      <c r="A707" s="108"/>
      <c r="B707" s="31"/>
      <c r="C707" s="31"/>
      <c r="D707" s="31"/>
      <c r="E707" s="31"/>
      <c r="F707" s="108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6.5" customHeight="1">
      <c r="A708" s="108"/>
      <c r="B708" s="31"/>
      <c r="C708" s="31"/>
      <c r="D708" s="31"/>
      <c r="E708" s="31"/>
      <c r="F708" s="108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6.5" customHeight="1">
      <c r="A709" s="108"/>
      <c r="B709" s="31"/>
      <c r="C709" s="31"/>
      <c r="D709" s="31"/>
      <c r="E709" s="31"/>
      <c r="F709" s="108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6.5" customHeight="1">
      <c r="A710" s="108"/>
      <c r="B710" s="31"/>
      <c r="C710" s="31"/>
      <c r="D710" s="31"/>
      <c r="E710" s="31"/>
      <c r="F710" s="108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6.5" customHeight="1">
      <c r="A711" s="108"/>
      <c r="B711" s="31"/>
      <c r="C711" s="31"/>
      <c r="D711" s="31"/>
      <c r="E711" s="31"/>
      <c r="F711" s="108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6.5" customHeight="1">
      <c r="A712" s="108"/>
      <c r="B712" s="31"/>
      <c r="C712" s="31"/>
      <c r="D712" s="31"/>
      <c r="E712" s="31"/>
      <c r="F712" s="108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6.5" customHeight="1">
      <c r="A713" s="108"/>
      <c r="B713" s="31"/>
      <c r="C713" s="31"/>
      <c r="D713" s="31"/>
      <c r="E713" s="31"/>
      <c r="F713" s="108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6.5" customHeight="1">
      <c r="A714" s="108"/>
      <c r="B714" s="31"/>
      <c r="C714" s="31"/>
      <c r="D714" s="31"/>
      <c r="E714" s="31"/>
      <c r="F714" s="108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6.5" customHeight="1">
      <c r="A715" s="108"/>
      <c r="B715" s="31"/>
      <c r="C715" s="31"/>
      <c r="D715" s="31"/>
      <c r="E715" s="31"/>
      <c r="F715" s="108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6.5" customHeight="1">
      <c r="A716" s="108"/>
      <c r="B716" s="31"/>
      <c r="C716" s="31"/>
      <c r="D716" s="31"/>
      <c r="E716" s="31"/>
      <c r="F716" s="108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6.5" customHeight="1">
      <c r="A717" s="108"/>
      <c r="B717" s="31"/>
      <c r="C717" s="31"/>
      <c r="D717" s="31"/>
      <c r="E717" s="31"/>
      <c r="F717" s="108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6.5" customHeight="1">
      <c r="A718" s="108"/>
      <c r="B718" s="31"/>
      <c r="C718" s="31"/>
      <c r="D718" s="31"/>
      <c r="E718" s="31"/>
      <c r="F718" s="108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6.5" customHeight="1">
      <c r="A719" s="108"/>
      <c r="B719" s="31"/>
      <c r="C719" s="31"/>
      <c r="D719" s="31"/>
      <c r="E719" s="31"/>
      <c r="F719" s="108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6.5" customHeight="1">
      <c r="A720" s="108"/>
      <c r="B720" s="31"/>
      <c r="C720" s="31"/>
      <c r="D720" s="31"/>
      <c r="E720" s="31"/>
      <c r="F720" s="108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6.5" customHeight="1">
      <c r="A721" s="108"/>
      <c r="B721" s="31"/>
      <c r="C721" s="31"/>
      <c r="D721" s="31"/>
      <c r="E721" s="31"/>
      <c r="F721" s="108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6.5" customHeight="1">
      <c r="A722" s="108"/>
      <c r="B722" s="31"/>
      <c r="C722" s="31"/>
      <c r="D722" s="31"/>
      <c r="E722" s="31"/>
      <c r="F722" s="108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6.5" customHeight="1">
      <c r="A723" s="108"/>
      <c r="B723" s="31"/>
      <c r="C723" s="31"/>
      <c r="D723" s="31"/>
      <c r="E723" s="31"/>
      <c r="F723" s="108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6.5" customHeight="1">
      <c r="A724" s="108"/>
      <c r="B724" s="31"/>
      <c r="C724" s="31"/>
      <c r="D724" s="31"/>
      <c r="E724" s="31"/>
      <c r="F724" s="108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6.5" customHeight="1">
      <c r="A725" s="108"/>
      <c r="B725" s="31"/>
      <c r="C725" s="31"/>
      <c r="D725" s="31"/>
      <c r="E725" s="31"/>
      <c r="F725" s="108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6.5" customHeight="1">
      <c r="A726" s="108"/>
      <c r="B726" s="31"/>
      <c r="C726" s="31"/>
      <c r="D726" s="31"/>
      <c r="E726" s="31"/>
      <c r="F726" s="108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6.5" customHeight="1">
      <c r="A727" s="108"/>
      <c r="B727" s="31"/>
      <c r="C727" s="31"/>
      <c r="D727" s="31"/>
      <c r="E727" s="31"/>
      <c r="F727" s="108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6.5" customHeight="1">
      <c r="A728" s="108"/>
      <c r="B728" s="31"/>
      <c r="C728" s="31"/>
      <c r="D728" s="31"/>
      <c r="E728" s="31"/>
      <c r="F728" s="108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6.5" customHeight="1">
      <c r="A729" s="108"/>
      <c r="B729" s="31"/>
      <c r="C729" s="31"/>
      <c r="D729" s="31"/>
      <c r="E729" s="31"/>
      <c r="F729" s="108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6.5" customHeight="1">
      <c r="A730" s="108"/>
      <c r="B730" s="31"/>
      <c r="C730" s="31"/>
      <c r="D730" s="31"/>
      <c r="E730" s="31"/>
      <c r="F730" s="108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6.5" customHeight="1">
      <c r="A731" s="108"/>
      <c r="B731" s="31"/>
      <c r="C731" s="31"/>
      <c r="D731" s="31"/>
      <c r="E731" s="31"/>
      <c r="F731" s="108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6.5" customHeight="1">
      <c r="A732" s="108"/>
      <c r="B732" s="31"/>
      <c r="C732" s="31"/>
      <c r="D732" s="31"/>
      <c r="E732" s="31"/>
      <c r="F732" s="108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6.5" customHeight="1">
      <c r="A733" s="108"/>
      <c r="B733" s="31"/>
      <c r="C733" s="31"/>
      <c r="D733" s="31"/>
      <c r="E733" s="31"/>
      <c r="F733" s="108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6.5" customHeight="1">
      <c r="A734" s="108"/>
      <c r="B734" s="31"/>
      <c r="C734" s="31"/>
      <c r="D734" s="31"/>
      <c r="E734" s="31"/>
      <c r="F734" s="108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6.5" customHeight="1">
      <c r="A735" s="108"/>
      <c r="B735" s="31"/>
      <c r="C735" s="31"/>
      <c r="D735" s="31"/>
      <c r="E735" s="31"/>
      <c r="F735" s="108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6.5" customHeight="1">
      <c r="A736" s="108"/>
      <c r="B736" s="31"/>
      <c r="C736" s="31"/>
      <c r="D736" s="31"/>
      <c r="E736" s="31"/>
      <c r="F736" s="108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6.5" customHeight="1">
      <c r="A737" s="108"/>
      <c r="B737" s="31"/>
      <c r="C737" s="31"/>
      <c r="D737" s="31"/>
      <c r="E737" s="31"/>
      <c r="F737" s="108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6.5" customHeight="1">
      <c r="A738" s="108"/>
      <c r="B738" s="31"/>
      <c r="C738" s="31"/>
      <c r="D738" s="31"/>
      <c r="E738" s="31"/>
      <c r="F738" s="108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6.5" customHeight="1">
      <c r="A739" s="108"/>
      <c r="B739" s="31"/>
      <c r="C739" s="31"/>
      <c r="D739" s="31"/>
      <c r="E739" s="31"/>
      <c r="F739" s="108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6.5" customHeight="1">
      <c r="A740" s="108"/>
      <c r="B740" s="31"/>
      <c r="C740" s="31"/>
      <c r="D740" s="31"/>
      <c r="E740" s="31"/>
      <c r="F740" s="108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6.5" customHeight="1">
      <c r="A741" s="108"/>
      <c r="B741" s="31"/>
      <c r="C741" s="31"/>
      <c r="D741" s="31"/>
      <c r="E741" s="31"/>
      <c r="F741" s="108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6.5" customHeight="1">
      <c r="A742" s="108"/>
      <c r="B742" s="31"/>
      <c r="C742" s="31"/>
      <c r="D742" s="31"/>
      <c r="E742" s="31"/>
      <c r="F742" s="108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6.5" customHeight="1">
      <c r="A743" s="108"/>
      <c r="B743" s="31"/>
      <c r="C743" s="31"/>
      <c r="D743" s="31"/>
      <c r="E743" s="31"/>
      <c r="F743" s="108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6.5" customHeight="1">
      <c r="A744" s="108"/>
      <c r="B744" s="31"/>
      <c r="C744" s="31"/>
      <c r="D744" s="31"/>
      <c r="E744" s="31"/>
      <c r="F744" s="108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6.5" customHeight="1">
      <c r="A745" s="108"/>
      <c r="B745" s="31"/>
      <c r="C745" s="31"/>
      <c r="D745" s="31"/>
      <c r="E745" s="31"/>
      <c r="F745" s="108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6.5" customHeight="1">
      <c r="A746" s="108"/>
      <c r="B746" s="31"/>
      <c r="C746" s="31"/>
      <c r="D746" s="31"/>
      <c r="E746" s="31"/>
      <c r="F746" s="108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6.5" customHeight="1">
      <c r="A747" s="108"/>
      <c r="B747" s="31"/>
      <c r="C747" s="31"/>
      <c r="D747" s="31"/>
      <c r="E747" s="31"/>
      <c r="F747" s="108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6.5" customHeight="1">
      <c r="A748" s="108"/>
      <c r="B748" s="31"/>
      <c r="C748" s="31"/>
      <c r="D748" s="31"/>
      <c r="E748" s="31"/>
      <c r="F748" s="108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6.5" customHeight="1">
      <c r="A749" s="108"/>
      <c r="B749" s="31"/>
      <c r="C749" s="31"/>
      <c r="D749" s="31"/>
      <c r="E749" s="31"/>
      <c r="F749" s="108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6.5" customHeight="1">
      <c r="A750" s="108"/>
      <c r="B750" s="31"/>
      <c r="C750" s="31"/>
      <c r="D750" s="31"/>
      <c r="E750" s="31"/>
      <c r="F750" s="108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6.5" customHeight="1">
      <c r="A751" s="108"/>
      <c r="B751" s="31"/>
      <c r="C751" s="31"/>
      <c r="D751" s="31"/>
      <c r="E751" s="31"/>
      <c r="F751" s="108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6.5" customHeight="1">
      <c r="A752" s="108"/>
      <c r="B752" s="31"/>
      <c r="C752" s="31"/>
      <c r="D752" s="31"/>
      <c r="E752" s="31"/>
      <c r="F752" s="108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6.5" customHeight="1">
      <c r="A753" s="108"/>
      <c r="B753" s="31"/>
      <c r="C753" s="31"/>
      <c r="D753" s="31"/>
      <c r="E753" s="31"/>
      <c r="F753" s="108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6.5" customHeight="1">
      <c r="A754" s="108"/>
      <c r="B754" s="31"/>
      <c r="C754" s="31"/>
      <c r="D754" s="31"/>
      <c r="E754" s="31"/>
      <c r="F754" s="108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6.5" customHeight="1">
      <c r="A755" s="108"/>
      <c r="B755" s="31"/>
      <c r="C755" s="31"/>
      <c r="D755" s="31"/>
      <c r="E755" s="31"/>
      <c r="F755" s="108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6.5" customHeight="1">
      <c r="A756" s="108"/>
      <c r="B756" s="31"/>
      <c r="C756" s="31"/>
      <c r="D756" s="31"/>
      <c r="E756" s="31"/>
      <c r="F756" s="108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6.5" customHeight="1">
      <c r="A757" s="108"/>
      <c r="B757" s="31"/>
      <c r="C757" s="31"/>
      <c r="D757" s="31"/>
      <c r="E757" s="31"/>
      <c r="F757" s="108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6.5" customHeight="1">
      <c r="A758" s="108"/>
      <c r="B758" s="31"/>
      <c r="C758" s="31"/>
      <c r="D758" s="31"/>
      <c r="E758" s="31"/>
      <c r="F758" s="108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6.5" customHeight="1">
      <c r="A759" s="108"/>
      <c r="B759" s="31"/>
      <c r="C759" s="31"/>
      <c r="D759" s="31"/>
      <c r="E759" s="31"/>
      <c r="F759" s="108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6.5" customHeight="1">
      <c r="A760" s="108"/>
      <c r="B760" s="31"/>
      <c r="C760" s="31"/>
      <c r="D760" s="31"/>
      <c r="E760" s="31"/>
      <c r="F760" s="108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6.5" customHeight="1">
      <c r="A761" s="108"/>
      <c r="B761" s="31"/>
      <c r="C761" s="31"/>
      <c r="D761" s="31"/>
      <c r="E761" s="31"/>
      <c r="F761" s="108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6.5" customHeight="1">
      <c r="A762" s="108"/>
      <c r="B762" s="31"/>
      <c r="C762" s="31"/>
      <c r="D762" s="31"/>
      <c r="E762" s="31"/>
      <c r="F762" s="108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6.5" customHeight="1">
      <c r="A763" s="108"/>
      <c r="B763" s="31"/>
      <c r="C763" s="31"/>
      <c r="D763" s="31"/>
      <c r="E763" s="31"/>
      <c r="F763" s="108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6.5" customHeight="1">
      <c r="A764" s="108"/>
      <c r="B764" s="31"/>
      <c r="C764" s="31"/>
      <c r="D764" s="31"/>
      <c r="E764" s="31"/>
      <c r="F764" s="108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6.5" customHeight="1">
      <c r="A765" s="108"/>
      <c r="B765" s="31"/>
      <c r="C765" s="31"/>
      <c r="D765" s="31"/>
      <c r="E765" s="31"/>
      <c r="F765" s="108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6.5" customHeight="1">
      <c r="A766" s="108"/>
      <c r="B766" s="31"/>
      <c r="C766" s="31"/>
      <c r="D766" s="31"/>
      <c r="E766" s="31"/>
      <c r="F766" s="108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6.5" customHeight="1">
      <c r="A767" s="108"/>
      <c r="B767" s="31"/>
      <c r="C767" s="31"/>
      <c r="D767" s="31"/>
      <c r="E767" s="31"/>
      <c r="F767" s="108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6.5" customHeight="1">
      <c r="A768" s="108"/>
      <c r="B768" s="31"/>
      <c r="C768" s="31"/>
      <c r="D768" s="31"/>
      <c r="E768" s="31"/>
      <c r="F768" s="108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6.5" customHeight="1">
      <c r="A769" s="108"/>
      <c r="B769" s="31"/>
      <c r="C769" s="31"/>
      <c r="D769" s="31"/>
      <c r="E769" s="31"/>
      <c r="F769" s="108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6.5" customHeight="1">
      <c r="A770" s="108"/>
      <c r="B770" s="31"/>
      <c r="C770" s="31"/>
      <c r="D770" s="31"/>
      <c r="E770" s="31"/>
      <c r="F770" s="108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6.5" customHeight="1">
      <c r="A771" s="108"/>
      <c r="B771" s="31"/>
      <c r="C771" s="31"/>
      <c r="D771" s="31"/>
      <c r="E771" s="31"/>
      <c r="F771" s="108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6.5" customHeight="1">
      <c r="A772" s="108"/>
      <c r="B772" s="31"/>
      <c r="C772" s="31"/>
      <c r="D772" s="31"/>
      <c r="E772" s="31"/>
      <c r="F772" s="108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6.5" customHeight="1">
      <c r="A773" s="108"/>
      <c r="B773" s="31"/>
      <c r="C773" s="31"/>
      <c r="D773" s="31"/>
      <c r="E773" s="31"/>
      <c r="F773" s="108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6.5" customHeight="1">
      <c r="A774" s="108"/>
      <c r="B774" s="31"/>
      <c r="C774" s="31"/>
      <c r="D774" s="31"/>
      <c r="E774" s="31"/>
      <c r="F774" s="108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6.5" customHeight="1">
      <c r="A775" s="108"/>
      <c r="B775" s="31"/>
      <c r="C775" s="31"/>
      <c r="D775" s="31"/>
      <c r="E775" s="31"/>
      <c r="F775" s="108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6.5" customHeight="1">
      <c r="A776" s="108"/>
      <c r="B776" s="31"/>
      <c r="C776" s="31"/>
      <c r="D776" s="31"/>
      <c r="E776" s="31"/>
      <c r="F776" s="108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6.5" customHeight="1">
      <c r="A777" s="108"/>
      <c r="B777" s="31"/>
      <c r="C777" s="31"/>
      <c r="D777" s="31"/>
      <c r="E777" s="31"/>
      <c r="F777" s="108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6.5" customHeight="1">
      <c r="A778" s="108"/>
      <c r="B778" s="31"/>
      <c r="C778" s="31"/>
      <c r="D778" s="31"/>
      <c r="E778" s="31"/>
      <c r="F778" s="108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6.5" customHeight="1">
      <c r="A779" s="108"/>
      <c r="B779" s="31"/>
      <c r="C779" s="31"/>
      <c r="D779" s="31"/>
      <c r="E779" s="31"/>
      <c r="F779" s="108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6.5" customHeight="1">
      <c r="A780" s="108"/>
      <c r="B780" s="31"/>
      <c r="C780" s="31"/>
      <c r="D780" s="31"/>
      <c r="E780" s="31"/>
      <c r="F780" s="108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6.5" customHeight="1">
      <c r="A781" s="108"/>
      <c r="B781" s="31"/>
      <c r="C781" s="31"/>
      <c r="D781" s="31"/>
      <c r="E781" s="31"/>
      <c r="F781" s="108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6.5" customHeight="1">
      <c r="A782" s="108"/>
      <c r="B782" s="31"/>
      <c r="C782" s="31"/>
      <c r="D782" s="31"/>
      <c r="E782" s="31"/>
      <c r="F782" s="108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6.5" customHeight="1">
      <c r="A783" s="108"/>
      <c r="B783" s="31"/>
      <c r="C783" s="31"/>
      <c r="D783" s="31"/>
      <c r="E783" s="31"/>
      <c r="F783" s="108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6.5" customHeight="1">
      <c r="A784" s="108"/>
      <c r="B784" s="31"/>
      <c r="C784" s="31"/>
      <c r="D784" s="31"/>
      <c r="E784" s="31"/>
      <c r="F784" s="108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6.5" customHeight="1">
      <c r="A785" s="108"/>
      <c r="B785" s="31"/>
      <c r="C785" s="31"/>
      <c r="D785" s="31"/>
      <c r="E785" s="31"/>
      <c r="F785" s="108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6.5" customHeight="1">
      <c r="A786" s="108"/>
      <c r="B786" s="31"/>
      <c r="C786" s="31"/>
      <c r="D786" s="31"/>
      <c r="E786" s="31"/>
      <c r="F786" s="108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6.5" customHeight="1">
      <c r="A787" s="108"/>
      <c r="B787" s="31"/>
      <c r="C787" s="31"/>
      <c r="D787" s="31"/>
      <c r="E787" s="31"/>
      <c r="F787" s="108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6.5" customHeight="1">
      <c r="A788" s="108"/>
      <c r="B788" s="31"/>
      <c r="C788" s="31"/>
      <c r="D788" s="31"/>
      <c r="E788" s="31"/>
      <c r="F788" s="108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6.5" customHeight="1">
      <c r="A789" s="108"/>
      <c r="B789" s="31"/>
      <c r="C789" s="31"/>
      <c r="D789" s="31"/>
      <c r="E789" s="31"/>
      <c r="F789" s="108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6.5" customHeight="1">
      <c r="A790" s="108"/>
      <c r="B790" s="31"/>
      <c r="C790" s="31"/>
      <c r="D790" s="31"/>
      <c r="E790" s="31"/>
      <c r="F790" s="108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6.5" customHeight="1">
      <c r="A791" s="108"/>
      <c r="B791" s="31"/>
      <c r="C791" s="31"/>
      <c r="D791" s="31"/>
      <c r="E791" s="31"/>
      <c r="F791" s="108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6.5" customHeight="1">
      <c r="A792" s="108"/>
      <c r="B792" s="31"/>
      <c r="C792" s="31"/>
      <c r="D792" s="31"/>
      <c r="E792" s="31"/>
      <c r="F792" s="108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6.5" customHeight="1">
      <c r="A793" s="108"/>
      <c r="B793" s="31"/>
      <c r="C793" s="31"/>
      <c r="D793" s="31"/>
      <c r="E793" s="31"/>
      <c r="F793" s="108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6.5" customHeight="1">
      <c r="A794" s="108"/>
      <c r="B794" s="31"/>
      <c r="C794" s="31"/>
      <c r="D794" s="31"/>
      <c r="E794" s="31"/>
      <c r="F794" s="108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6.5" customHeight="1">
      <c r="A795" s="108"/>
      <c r="B795" s="31"/>
      <c r="C795" s="31"/>
      <c r="D795" s="31"/>
      <c r="E795" s="31"/>
      <c r="F795" s="108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6.5" customHeight="1">
      <c r="A796" s="108"/>
      <c r="B796" s="31"/>
      <c r="C796" s="31"/>
      <c r="D796" s="31"/>
      <c r="E796" s="31"/>
      <c r="F796" s="108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6.5" customHeight="1">
      <c r="A797" s="108"/>
      <c r="B797" s="31"/>
      <c r="C797" s="31"/>
      <c r="D797" s="31"/>
      <c r="E797" s="31"/>
      <c r="F797" s="108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6.5" customHeight="1">
      <c r="A798" s="108"/>
      <c r="B798" s="31"/>
      <c r="C798" s="31"/>
      <c r="D798" s="31"/>
      <c r="E798" s="31"/>
      <c r="F798" s="108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6.5" customHeight="1">
      <c r="A799" s="108"/>
      <c r="B799" s="31"/>
      <c r="C799" s="31"/>
      <c r="D799" s="31"/>
      <c r="E799" s="31"/>
      <c r="F799" s="108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6.5" customHeight="1">
      <c r="A800" s="108"/>
      <c r="B800" s="31"/>
      <c r="C800" s="31"/>
      <c r="D800" s="31"/>
      <c r="E800" s="31"/>
      <c r="F800" s="108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6.5" customHeight="1">
      <c r="A801" s="108"/>
      <c r="B801" s="31"/>
      <c r="C801" s="31"/>
      <c r="D801" s="31"/>
      <c r="E801" s="31"/>
      <c r="F801" s="108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6.5" customHeight="1">
      <c r="A802" s="108"/>
      <c r="B802" s="31"/>
      <c r="C802" s="31"/>
      <c r="D802" s="31"/>
      <c r="E802" s="31"/>
      <c r="F802" s="108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6.5" customHeight="1">
      <c r="A803" s="108"/>
      <c r="B803" s="31"/>
      <c r="C803" s="31"/>
      <c r="D803" s="31"/>
      <c r="E803" s="31"/>
      <c r="F803" s="108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6.5" customHeight="1">
      <c r="A804" s="108"/>
      <c r="B804" s="31"/>
      <c r="C804" s="31"/>
      <c r="D804" s="31"/>
      <c r="E804" s="31"/>
      <c r="F804" s="108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6.5" customHeight="1">
      <c r="A805" s="108"/>
      <c r="B805" s="31"/>
      <c r="C805" s="31"/>
      <c r="D805" s="31"/>
      <c r="E805" s="31"/>
      <c r="F805" s="108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6.5" customHeight="1">
      <c r="A806" s="108"/>
      <c r="B806" s="31"/>
      <c r="C806" s="31"/>
      <c r="D806" s="31"/>
      <c r="E806" s="31"/>
      <c r="F806" s="108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6.5" customHeight="1">
      <c r="A807" s="108"/>
      <c r="B807" s="31"/>
      <c r="C807" s="31"/>
      <c r="D807" s="31"/>
      <c r="E807" s="31"/>
      <c r="F807" s="108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6.5" customHeight="1">
      <c r="A808" s="108"/>
      <c r="B808" s="31"/>
      <c r="C808" s="31"/>
      <c r="D808" s="31"/>
      <c r="E808" s="31"/>
      <c r="F808" s="108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6.5" customHeight="1">
      <c r="A809" s="108"/>
      <c r="B809" s="31"/>
      <c r="C809" s="31"/>
      <c r="D809" s="31"/>
      <c r="E809" s="31"/>
      <c r="F809" s="108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6.5" customHeight="1">
      <c r="A810" s="108"/>
      <c r="B810" s="31"/>
      <c r="C810" s="31"/>
      <c r="D810" s="31"/>
      <c r="E810" s="31"/>
      <c r="F810" s="108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6.5" customHeight="1">
      <c r="A811" s="108"/>
      <c r="B811" s="31"/>
      <c r="C811" s="31"/>
      <c r="D811" s="31"/>
      <c r="E811" s="31"/>
      <c r="F811" s="108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6.5" customHeight="1">
      <c r="A812" s="108"/>
      <c r="B812" s="31"/>
      <c r="C812" s="31"/>
      <c r="D812" s="31"/>
      <c r="E812" s="31"/>
      <c r="F812" s="108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6.5" customHeight="1">
      <c r="A813" s="108"/>
      <c r="B813" s="31"/>
      <c r="C813" s="31"/>
      <c r="D813" s="31"/>
      <c r="E813" s="31"/>
      <c r="F813" s="108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6.5" customHeight="1">
      <c r="A814" s="108"/>
      <c r="B814" s="31"/>
      <c r="C814" s="31"/>
      <c r="D814" s="31"/>
      <c r="E814" s="31"/>
      <c r="F814" s="108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6.5" customHeight="1">
      <c r="A815" s="108"/>
      <c r="B815" s="31"/>
      <c r="C815" s="31"/>
      <c r="D815" s="31"/>
      <c r="E815" s="31"/>
      <c r="F815" s="108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6.5" customHeight="1">
      <c r="A816" s="108"/>
      <c r="B816" s="31"/>
      <c r="C816" s="31"/>
      <c r="D816" s="31"/>
      <c r="E816" s="31"/>
      <c r="F816" s="108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6.5" customHeight="1">
      <c r="A817" s="108"/>
      <c r="B817" s="31"/>
      <c r="C817" s="31"/>
      <c r="D817" s="31"/>
      <c r="E817" s="31"/>
      <c r="F817" s="108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6.5" customHeight="1">
      <c r="A818" s="108"/>
      <c r="B818" s="31"/>
      <c r="C818" s="31"/>
      <c r="D818" s="31"/>
      <c r="E818" s="31"/>
      <c r="F818" s="108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6.5" customHeight="1">
      <c r="A819" s="108"/>
      <c r="B819" s="31"/>
      <c r="C819" s="31"/>
      <c r="D819" s="31"/>
      <c r="E819" s="31"/>
      <c r="F819" s="108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6.5" customHeight="1">
      <c r="A820" s="108"/>
      <c r="B820" s="31"/>
      <c r="C820" s="31"/>
      <c r="D820" s="31"/>
      <c r="E820" s="31"/>
      <c r="F820" s="108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6.5" customHeight="1">
      <c r="A821" s="108"/>
      <c r="B821" s="31"/>
      <c r="C821" s="31"/>
      <c r="D821" s="31"/>
      <c r="E821" s="31"/>
      <c r="F821" s="108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6.5" customHeight="1">
      <c r="A822" s="108"/>
      <c r="B822" s="31"/>
      <c r="C822" s="31"/>
      <c r="D822" s="31"/>
      <c r="E822" s="31"/>
      <c r="F822" s="108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6.5" customHeight="1">
      <c r="A823" s="108"/>
      <c r="B823" s="31"/>
      <c r="C823" s="31"/>
      <c r="D823" s="31"/>
      <c r="E823" s="31"/>
      <c r="F823" s="108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6.5" customHeight="1">
      <c r="A824" s="108"/>
      <c r="B824" s="31"/>
      <c r="C824" s="31"/>
      <c r="D824" s="31"/>
      <c r="E824" s="31"/>
      <c r="F824" s="108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6.5" customHeight="1">
      <c r="A825" s="108"/>
      <c r="B825" s="31"/>
      <c r="C825" s="31"/>
      <c r="D825" s="31"/>
      <c r="E825" s="31"/>
      <c r="F825" s="108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6.5" customHeight="1">
      <c r="A826" s="108"/>
      <c r="B826" s="31"/>
      <c r="C826" s="31"/>
      <c r="D826" s="31"/>
      <c r="E826" s="31"/>
      <c r="F826" s="108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6.5" customHeight="1">
      <c r="A827" s="108"/>
      <c r="B827" s="31"/>
      <c r="C827" s="31"/>
      <c r="D827" s="31"/>
      <c r="E827" s="31"/>
      <c r="F827" s="108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6.5" customHeight="1">
      <c r="A828" s="108"/>
      <c r="B828" s="31"/>
      <c r="C828" s="31"/>
      <c r="D828" s="31"/>
      <c r="E828" s="31"/>
      <c r="F828" s="108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6.5" customHeight="1">
      <c r="A829" s="108"/>
      <c r="B829" s="31"/>
      <c r="C829" s="31"/>
      <c r="D829" s="31"/>
      <c r="E829" s="31"/>
      <c r="F829" s="108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6.5" customHeight="1">
      <c r="A830" s="108"/>
      <c r="B830" s="31"/>
      <c r="C830" s="31"/>
      <c r="D830" s="31"/>
      <c r="E830" s="31"/>
      <c r="F830" s="108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6.5" customHeight="1">
      <c r="A831" s="108"/>
      <c r="B831" s="31"/>
      <c r="C831" s="31"/>
      <c r="D831" s="31"/>
      <c r="E831" s="31"/>
      <c r="F831" s="108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6.5" customHeight="1">
      <c r="A832" s="108"/>
      <c r="B832" s="31"/>
      <c r="C832" s="31"/>
      <c r="D832" s="31"/>
      <c r="E832" s="31"/>
      <c r="F832" s="108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6.5" customHeight="1">
      <c r="A833" s="108"/>
      <c r="B833" s="31"/>
      <c r="C833" s="31"/>
      <c r="D833" s="31"/>
      <c r="E833" s="31"/>
      <c r="F833" s="108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6.5" customHeight="1">
      <c r="A834" s="108"/>
      <c r="B834" s="31"/>
      <c r="C834" s="31"/>
      <c r="D834" s="31"/>
      <c r="E834" s="31"/>
      <c r="F834" s="108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6.5" customHeight="1">
      <c r="A835" s="108"/>
      <c r="B835" s="31"/>
      <c r="C835" s="31"/>
      <c r="D835" s="31"/>
      <c r="E835" s="31"/>
      <c r="F835" s="108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6.5" customHeight="1">
      <c r="A836" s="108"/>
      <c r="B836" s="31"/>
      <c r="C836" s="31"/>
      <c r="D836" s="31"/>
      <c r="E836" s="31"/>
      <c r="F836" s="108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6.5" customHeight="1">
      <c r="A837" s="108"/>
      <c r="B837" s="31"/>
      <c r="C837" s="31"/>
      <c r="D837" s="31"/>
      <c r="E837" s="31"/>
      <c r="F837" s="108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6.5" customHeight="1">
      <c r="A838" s="108"/>
      <c r="B838" s="31"/>
      <c r="C838" s="31"/>
      <c r="D838" s="31"/>
      <c r="E838" s="31"/>
      <c r="F838" s="108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6.5" customHeight="1">
      <c r="A839" s="108"/>
      <c r="B839" s="31"/>
      <c r="C839" s="31"/>
      <c r="D839" s="31"/>
      <c r="E839" s="31"/>
      <c r="F839" s="108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6.5" customHeight="1">
      <c r="A840" s="108"/>
      <c r="B840" s="31"/>
      <c r="C840" s="31"/>
      <c r="D840" s="31"/>
      <c r="E840" s="31"/>
      <c r="F840" s="108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6.5" customHeight="1">
      <c r="A841" s="108"/>
      <c r="B841" s="31"/>
      <c r="C841" s="31"/>
      <c r="D841" s="31"/>
      <c r="E841" s="31"/>
      <c r="F841" s="108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6.5" customHeight="1">
      <c r="A842" s="108"/>
      <c r="B842" s="31"/>
      <c r="C842" s="31"/>
      <c r="D842" s="31"/>
      <c r="E842" s="31"/>
      <c r="F842" s="108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6.5" customHeight="1">
      <c r="A843" s="108"/>
      <c r="B843" s="31"/>
      <c r="C843" s="31"/>
      <c r="D843" s="31"/>
      <c r="E843" s="31"/>
      <c r="F843" s="108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6.5" customHeight="1">
      <c r="A844" s="108"/>
      <c r="B844" s="31"/>
      <c r="C844" s="31"/>
      <c r="D844" s="31"/>
      <c r="E844" s="31"/>
      <c r="F844" s="108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6.5" customHeight="1">
      <c r="A845" s="108"/>
      <c r="B845" s="31"/>
      <c r="C845" s="31"/>
      <c r="D845" s="31"/>
      <c r="E845" s="31"/>
      <c r="F845" s="108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6.5" customHeight="1">
      <c r="A846" s="108"/>
      <c r="B846" s="31"/>
      <c r="C846" s="31"/>
      <c r="D846" s="31"/>
      <c r="E846" s="31"/>
      <c r="F846" s="108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6.5" customHeight="1">
      <c r="A847" s="108"/>
      <c r="B847" s="31"/>
      <c r="C847" s="31"/>
      <c r="D847" s="31"/>
      <c r="E847" s="31"/>
      <c r="F847" s="108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6.5" customHeight="1">
      <c r="A848" s="108"/>
      <c r="B848" s="31"/>
      <c r="C848" s="31"/>
      <c r="D848" s="31"/>
      <c r="E848" s="31"/>
      <c r="F848" s="108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6.5" customHeight="1">
      <c r="A849" s="108"/>
      <c r="B849" s="31"/>
      <c r="C849" s="31"/>
      <c r="D849" s="31"/>
      <c r="E849" s="31"/>
      <c r="F849" s="108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6.5" customHeight="1">
      <c r="A850" s="108"/>
      <c r="B850" s="31"/>
      <c r="C850" s="31"/>
      <c r="D850" s="31"/>
      <c r="E850" s="31"/>
      <c r="F850" s="108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6.5" customHeight="1">
      <c r="A851" s="108"/>
      <c r="B851" s="31"/>
      <c r="C851" s="31"/>
      <c r="D851" s="31"/>
      <c r="E851" s="31"/>
      <c r="F851" s="108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6.5" customHeight="1">
      <c r="A852" s="108"/>
      <c r="B852" s="31"/>
      <c r="C852" s="31"/>
      <c r="D852" s="31"/>
      <c r="E852" s="31"/>
      <c r="F852" s="108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6.5" customHeight="1">
      <c r="A853" s="108"/>
      <c r="B853" s="31"/>
      <c r="C853" s="31"/>
      <c r="D853" s="31"/>
      <c r="E853" s="31"/>
      <c r="F853" s="108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6.5" customHeight="1">
      <c r="A854" s="108"/>
      <c r="B854" s="31"/>
      <c r="C854" s="31"/>
      <c r="D854" s="31"/>
      <c r="E854" s="31"/>
      <c r="F854" s="108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6.5" customHeight="1">
      <c r="A855" s="108"/>
      <c r="B855" s="31"/>
      <c r="C855" s="31"/>
      <c r="D855" s="31"/>
      <c r="E855" s="31"/>
      <c r="F855" s="108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6.5" customHeight="1">
      <c r="A856" s="108"/>
      <c r="B856" s="31"/>
      <c r="C856" s="31"/>
      <c r="D856" s="31"/>
      <c r="E856" s="31"/>
      <c r="F856" s="108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6.5" customHeight="1">
      <c r="A857" s="108"/>
      <c r="B857" s="31"/>
      <c r="C857" s="31"/>
      <c r="D857" s="31"/>
      <c r="E857" s="31"/>
      <c r="F857" s="108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6.5" customHeight="1">
      <c r="A858" s="108"/>
      <c r="B858" s="31"/>
      <c r="C858" s="31"/>
      <c r="D858" s="31"/>
      <c r="E858" s="31"/>
      <c r="F858" s="108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6.5" customHeight="1">
      <c r="A859" s="108"/>
      <c r="B859" s="31"/>
      <c r="C859" s="31"/>
      <c r="D859" s="31"/>
      <c r="E859" s="31"/>
      <c r="F859" s="108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6.5" customHeight="1">
      <c r="A860" s="108"/>
      <c r="B860" s="31"/>
      <c r="C860" s="31"/>
      <c r="D860" s="31"/>
      <c r="E860" s="31"/>
      <c r="F860" s="108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6.5" customHeight="1">
      <c r="A861" s="108"/>
      <c r="B861" s="31"/>
      <c r="C861" s="31"/>
      <c r="D861" s="31"/>
      <c r="E861" s="31"/>
      <c r="F861" s="108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6.5" customHeight="1">
      <c r="A862" s="108"/>
      <c r="B862" s="31"/>
      <c r="C862" s="31"/>
      <c r="D862" s="31"/>
      <c r="E862" s="31"/>
      <c r="F862" s="108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6.5" customHeight="1">
      <c r="A863" s="108"/>
      <c r="B863" s="31"/>
      <c r="C863" s="31"/>
      <c r="D863" s="31"/>
      <c r="E863" s="31"/>
      <c r="F863" s="108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6.5" customHeight="1">
      <c r="A864" s="108"/>
      <c r="B864" s="31"/>
      <c r="C864" s="31"/>
      <c r="D864" s="31"/>
      <c r="E864" s="31"/>
      <c r="F864" s="108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6.5" customHeight="1">
      <c r="A865" s="108"/>
      <c r="B865" s="31"/>
      <c r="C865" s="31"/>
      <c r="D865" s="31"/>
      <c r="E865" s="31"/>
      <c r="F865" s="108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6.5" customHeight="1">
      <c r="A866" s="108"/>
      <c r="B866" s="31"/>
      <c r="C866" s="31"/>
      <c r="D866" s="31"/>
      <c r="E866" s="31"/>
      <c r="F866" s="108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6.5" customHeight="1">
      <c r="A867" s="108"/>
      <c r="B867" s="31"/>
      <c r="C867" s="31"/>
      <c r="D867" s="31"/>
      <c r="E867" s="31"/>
      <c r="F867" s="108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6.5" customHeight="1">
      <c r="A868" s="108"/>
      <c r="B868" s="31"/>
      <c r="C868" s="31"/>
      <c r="D868" s="31"/>
      <c r="E868" s="31"/>
      <c r="F868" s="108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6.5" customHeight="1">
      <c r="A869" s="108"/>
      <c r="B869" s="31"/>
      <c r="C869" s="31"/>
      <c r="D869" s="31"/>
      <c r="E869" s="31"/>
      <c r="F869" s="108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6.5" customHeight="1">
      <c r="A870" s="108"/>
      <c r="B870" s="31"/>
      <c r="C870" s="31"/>
      <c r="D870" s="31"/>
      <c r="E870" s="31"/>
      <c r="F870" s="108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6.5" customHeight="1">
      <c r="A871" s="108"/>
      <c r="B871" s="31"/>
      <c r="C871" s="31"/>
      <c r="D871" s="31"/>
      <c r="E871" s="31"/>
      <c r="F871" s="108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6.5" customHeight="1">
      <c r="A872" s="108"/>
      <c r="B872" s="31"/>
      <c r="C872" s="31"/>
      <c r="D872" s="31"/>
      <c r="E872" s="31"/>
      <c r="F872" s="108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6.5" customHeight="1">
      <c r="A873" s="108"/>
      <c r="B873" s="31"/>
      <c r="C873" s="31"/>
      <c r="D873" s="31"/>
      <c r="E873" s="31"/>
      <c r="F873" s="108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6.5" customHeight="1">
      <c r="A874" s="108"/>
      <c r="B874" s="31"/>
      <c r="C874" s="31"/>
      <c r="D874" s="31"/>
      <c r="E874" s="31"/>
      <c r="F874" s="108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6.5" customHeight="1">
      <c r="A875" s="108"/>
      <c r="B875" s="31"/>
      <c r="C875" s="31"/>
      <c r="D875" s="31"/>
      <c r="E875" s="31"/>
      <c r="F875" s="108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6.5" customHeight="1">
      <c r="A876" s="108"/>
      <c r="B876" s="31"/>
      <c r="C876" s="31"/>
      <c r="D876" s="31"/>
      <c r="E876" s="31"/>
      <c r="F876" s="108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6.5" customHeight="1">
      <c r="A877" s="108"/>
      <c r="B877" s="31"/>
      <c r="C877" s="31"/>
      <c r="D877" s="31"/>
      <c r="E877" s="31"/>
      <c r="F877" s="108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6.5" customHeight="1">
      <c r="A878" s="108"/>
      <c r="B878" s="31"/>
      <c r="C878" s="31"/>
      <c r="D878" s="31"/>
      <c r="E878" s="31"/>
      <c r="F878" s="108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6.5" customHeight="1">
      <c r="A879" s="108"/>
      <c r="B879" s="31"/>
      <c r="C879" s="31"/>
      <c r="D879" s="31"/>
      <c r="E879" s="31"/>
      <c r="F879" s="108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6.5" customHeight="1">
      <c r="A880" s="108"/>
      <c r="B880" s="31"/>
      <c r="C880" s="31"/>
      <c r="D880" s="31"/>
      <c r="E880" s="31"/>
      <c r="F880" s="108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6.5" customHeight="1">
      <c r="A881" s="108"/>
      <c r="B881" s="31"/>
      <c r="C881" s="31"/>
      <c r="D881" s="31"/>
      <c r="E881" s="31"/>
      <c r="F881" s="108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6.5" customHeight="1">
      <c r="A882" s="108"/>
      <c r="B882" s="31"/>
      <c r="C882" s="31"/>
      <c r="D882" s="31"/>
      <c r="E882" s="31"/>
      <c r="F882" s="108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6.5" customHeight="1">
      <c r="A883" s="108"/>
      <c r="B883" s="31"/>
      <c r="C883" s="31"/>
      <c r="D883" s="31"/>
      <c r="E883" s="31"/>
      <c r="F883" s="108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6.5" customHeight="1">
      <c r="A884" s="108"/>
      <c r="B884" s="31"/>
      <c r="C884" s="31"/>
      <c r="D884" s="31"/>
      <c r="E884" s="31"/>
      <c r="F884" s="108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6.5" customHeight="1">
      <c r="A885" s="108"/>
      <c r="B885" s="31"/>
      <c r="C885" s="31"/>
      <c r="D885" s="31"/>
      <c r="E885" s="31"/>
      <c r="F885" s="108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6.5" customHeight="1">
      <c r="A886" s="108"/>
      <c r="B886" s="31"/>
      <c r="C886" s="31"/>
      <c r="D886" s="31"/>
      <c r="E886" s="31"/>
      <c r="F886" s="108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6.5" customHeight="1">
      <c r="A887" s="108"/>
      <c r="B887" s="31"/>
      <c r="C887" s="31"/>
      <c r="D887" s="31"/>
      <c r="E887" s="31"/>
      <c r="F887" s="108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6.5" customHeight="1">
      <c r="A888" s="108"/>
      <c r="B888" s="31"/>
      <c r="C888" s="31"/>
      <c r="D888" s="31"/>
      <c r="E888" s="31"/>
      <c r="F888" s="108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6.5" customHeight="1">
      <c r="A889" s="108"/>
      <c r="B889" s="31"/>
      <c r="C889" s="31"/>
      <c r="D889" s="31"/>
      <c r="E889" s="31"/>
      <c r="F889" s="108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6.5" customHeight="1">
      <c r="A890" s="108"/>
      <c r="B890" s="31"/>
      <c r="C890" s="31"/>
      <c r="D890" s="31"/>
      <c r="E890" s="31"/>
      <c r="F890" s="108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6.5" customHeight="1">
      <c r="A891" s="108"/>
      <c r="B891" s="31"/>
      <c r="C891" s="31"/>
      <c r="D891" s="31"/>
      <c r="E891" s="31"/>
      <c r="F891" s="108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6.5" customHeight="1">
      <c r="A892" s="108"/>
      <c r="B892" s="31"/>
      <c r="C892" s="31"/>
      <c r="D892" s="31"/>
      <c r="E892" s="31"/>
      <c r="F892" s="108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6.5" customHeight="1">
      <c r="A893" s="108"/>
      <c r="B893" s="31"/>
      <c r="C893" s="31"/>
      <c r="D893" s="31"/>
      <c r="E893" s="31"/>
      <c r="F893" s="108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6.5" customHeight="1">
      <c r="A894" s="108"/>
      <c r="B894" s="31"/>
      <c r="C894" s="31"/>
      <c r="D894" s="31"/>
      <c r="E894" s="31"/>
      <c r="F894" s="108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6.5" customHeight="1">
      <c r="A895" s="108"/>
      <c r="B895" s="31"/>
      <c r="C895" s="31"/>
      <c r="D895" s="31"/>
      <c r="E895" s="31"/>
      <c r="F895" s="108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6.5" customHeight="1">
      <c r="A896" s="108"/>
      <c r="B896" s="31"/>
      <c r="C896" s="31"/>
      <c r="D896" s="31"/>
      <c r="E896" s="31"/>
      <c r="F896" s="108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6.5" customHeight="1">
      <c r="A897" s="108"/>
      <c r="B897" s="31"/>
      <c r="C897" s="31"/>
      <c r="D897" s="31"/>
      <c r="E897" s="31"/>
      <c r="F897" s="108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6.5" customHeight="1">
      <c r="A898" s="108"/>
      <c r="B898" s="31"/>
      <c r="C898" s="31"/>
      <c r="D898" s="31"/>
      <c r="E898" s="31"/>
      <c r="F898" s="108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6.5" customHeight="1">
      <c r="A899" s="108"/>
      <c r="B899" s="31"/>
      <c r="C899" s="31"/>
      <c r="D899" s="31"/>
      <c r="E899" s="31"/>
      <c r="F899" s="108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6.5" customHeight="1">
      <c r="A900" s="108"/>
      <c r="B900" s="31"/>
      <c r="C900" s="31"/>
      <c r="D900" s="31"/>
      <c r="E900" s="31"/>
      <c r="F900" s="108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6.5" customHeight="1">
      <c r="A901" s="108"/>
      <c r="B901" s="31"/>
      <c r="C901" s="31"/>
      <c r="D901" s="31"/>
      <c r="E901" s="31"/>
      <c r="F901" s="108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6.5" customHeight="1">
      <c r="A902" s="108"/>
      <c r="B902" s="31"/>
      <c r="C902" s="31"/>
      <c r="D902" s="31"/>
      <c r="E902" s="31"/>
      <c r="F902" s="108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6.5" customHeight="1">
      <c r="A903" s="108"/>
      <c r="B903" s="31"/>
      <c r="C903" s="31"/>
      <c r="D903" s="31"/>
      <c r="E903" s="31"/>
      <c r="F903" s="108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6.5" customHeight="1">
      <c r="A904" s="108"/>
      <c r="B904" s="31"/>
      <c r="C904" s="31"/>
      <c r="D904" s="31"/>
      <c r="E904" s="31"/>
      <c r="F904" s="108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6.5" customHeight="1">
      <c r="A905" s="108"/>
      <c r="B905" s="31"/>
      <c r="C905" s="31"/>
      <c r="D905" s="31"/>
      <c r="E905" s="31"/>
      <c r="F905" s="108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6.5" customHeight="1">
      <c r="A906" s="108"/>
      <c r="B906" s="31"/>
      <c r="C906" s="31"/>
      <c r="D906" s="31"/>
      <c r="E906" s="31"/>
      <c r="F906" s="108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6.5" customHeight="1">
      <c r="A907" s="108"/>
      <c r="B907" s="31"/>
      <c r="C907" s="31"/>
      <c r="D907" s="31"/>
      <c r="E907" s="31"/>
      <c r="F907" s="108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6.5" customHeight="1">
      <c r="A908" s="108"/>
      <c r="B908" s="31"/>
      <c r="C908" s="31"/>
      <c r="D908" s="31"/>
      <c r="E908" s="31"/>
      <c r="F908" s="108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6.5" customHeight="1">
      <c r="A909" s="108"/>
      <c r="B909" s="31"/>
      <c r="C909" s="31"/>
      <c r="D909" s="31"/>
      <c r="E909" s="31"/>
      <c r="F909" s="108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6.5" customHeight="1">
      <c r="A910" s="108"/>
      <c r="B910" s="31"/>
      <c r="C910" s="31"/>
      <c r="D910" s="31"/>
      <c r="E910" s="31"/>
      <c r="F910" s="108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6.5" customHeight="1">
      <c r="A911" s="108"/>
      <c r="B911" s="31"/>
      <c r="C911" s="31"/>
      <c r="D911" s="31"/>
      <c r="E911" s="31"/>
      <c r="F911" s="108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6.5" customHeight="1">
      <c r="A912" s="108"/>
      <c r="B912" s="31"/>
      <c r="C912" s="31"/>
      <c r="D912" s="31"/>
      <c r="E912" s="31"/>
      <c r="F912" s="108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6.5" customHeight="1">
      <c r="A913" s="108"/>
      <c r="B913" s="31"/>
      <c r="C913" s="31"/>
      <c r="D913" s="31"/>
      <c r="E913" s="31"/>
      <c r="F913" s="108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6.5" customHeight="1">
      <c r="A914" s="108"/>
      <c r="B914" s="31"/>
      <c r="C914" s="31"/>
      <c r="D914" s="31"/>
      <c r="E914" s="31"/>
      <c r="F914" s="108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6.5" customHeight="1">
      <c r="A915" s="108"/>
      <c r="B915" s="31"/>
      <c r="C915" s="31"/>
      <c r="D915" s="31"/>
      <c r="E915" s="31"/>
      <c r="F915" s="108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6.5" customHeight="1">
      <c r="A916" s="108"/>
      <c r="B916" s="31"/>
      <c r="C916" s="31"/>
      <c r="D916" s="31"/>
      <c r="E916" s="31"/>
      <c r="F916" s="108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6.5" customHeight="1">
      <c r="A917" s="108"/>
      <c r="B917" s="31"/>
      <c r="C917" s="31"/>
      <c r="D917" s="31"/>
      <c r="E917" s="31"/>
      <c r="F917" s="108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6.5" customHeight="1">
      <c r="A918" s="108"/>
      <c r="B918" s="31"/>
      <c r="C918" s="31"/>
      <c r="D918" s="31"/>
      <c r="E918" s="31"/>
      <c r="F918" s="108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6.5" customHeight="1">
      <c r="A919" s="108"/>
      <c r="B919" s="31"/>
      <c r="C919" s="31"/>
      <c r="D919" s="31"/>
      <c r="E919" s="31"/>
      <c r="F919" s="108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6.5" customHeight="1">
      <c r="A920" s="108"/>
      <c r="B920" s="31"/>
      <c r="C920" s="31"/>
      <c r="D920" s="31"/>
      <c r="E920" s="31"/>
      <c r="F920" s="108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6.5" customHeight="1">
      <c r="A921" s="108"/>
      <c r="B921" s="31"/>
      <c r="C921" s="31"/>
      <c r="D921" s="31"/>
      <c r="E921" s="31"/>
      <c r="F921" s="108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6.5" customHeight="1">
      <c r="A922" s="108"/>
      <c r="B922" s="31"/>
      <c r="C922" s="31"/>
      <c r="D922" s="31"/>
      <c r="E922" s="31"/>
      <c r="F922" s="108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6.5" customHeight="1">
      <c r="A923" s="108"/>
      <c r="B923" s="31"/>
      <c r="C923" s="31"/>
      <c r="D923" s="31"/>
      <c r="E923" s="31"/>
      <c r="F923" s="108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6.5" customHeight="1">
      <c r="A924" s="108"/>
      <c r="B924" s="31"/>
      <c r="C924" s="31"/>
      <c r="D924" s="31"/>
      <c r="E924" s="31"/>
      <c r="F924" s="108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6.5" customHeight="1">
      <c r="A925" s="108"/>
      <c r="B925" s="31"/>
      <c r="C925" s="31"/>
      <c r="D925" s="31"/>
      <c r="E925" s="31"/>
      <c r="F925" s="108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6.5" customHeight="1">
      <c r="A926" s="108"/>
      <c r="B926" s="31"/>
      <c r="C926" s="31"/>
      <c r="D926" s="31"/>
      <c r="E926" s="31"/>
      <c r="F926" s="108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6.5" customHeight="1">
      <c r="A927" s="108"/>
      <c r="B927" s="31"/>
      <c r="C927" s="31"/>
      <c r="D927" s="31"/>
      <c r="E927" s="31"/>
      <c r="F927" s="108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6.5" customHeight="1">
      <c r="A928" s="108"/>
      <c r="B928" s="31"/>
      <c r="C928" s="31"/>
      <c r="D928" s="31"/>
      <c r="E928" s="31"/>
      <c r="F928" s="108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6.5" customHeight="1">
      <c r="A929" s="108"/>
      <c r="B929" s="31"/>
      <c r="C929" s="31"/>
      <c r="D929" s="31"/>
      <c r="E929" s="31"/>
      <c r="F929" s="108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6.5" customHeight="1">
      <c r="A930" s="108"/>
      <c r="B930" s="31"/>
      <c r="C930" s="31"/>
      <c r="D930" s="31"/>
      <c r="E930" s="31"/>
      <c r="F930" s="108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6.5" customHeight="1">
      <c r="A931" s="108"/>
      <c r="B931" s="31"/>
      <c r="C931" s="31"/>
      <c r="D931" s="31"/>
      <c r="E931" s="31"/>
      <c r="F931" s="108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6.5" customHeight="1">
      <c r="A932" s="108"/>
      <c r="B932" s="31"/>
      <c r="C932" s="31"/>
      <c r="D932" s="31"/>
      <c r="E932" s="31"/>
      <c r="F932" s="108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6.5" customHeight="1">
      <c r="A933" s="108"/>
      <c r="B933" s="31"/>
      <c r="C933" s="31"/>
      <c r="D933" s="31"/>
      <c r="E933" s="31"/>
      <c r="F933" s="108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6.5" customHeight="1">
      <c r="A934" s="108"/>
      <c r="B934" s="31"/>
      <c r="C934" s="31"/>
      <c r="D934" s="31"/>
      <c r="E934" s="31"/>
      <c r="F934" s="108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6.5" customHeight="1">
      <c r="A935" s="108"/>
      <c r="B935" s="31"/>
      <c r="C935" s="31"/>
      <c r="D935" s="31"/>
      <c r="E935" s="31"/>
      <c r="F935" s="108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6.5" customHeight="1">
      <c r="A936" s="108"/>
      <c r="B936" s="31"/>
      <c r="C936" s="31"/>
      <c r="D936" s="31"/>
      <c r="E936" s="31"/>
      <c r="F936" s="108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6.5" customHeight="1">
      <c r="A937" s="108"/>
      <c r="B937" s="31"/>
      <c r="C937" s="31"/>
      <c r="D937" s="31"/>
      <c r="E937" s="31"/>
      <c r="F937" s="108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6.5" customHeight="1">
      <c r="A938" s="108"/>
      <c r="B938" s="31"/>
      <c r="C938" s="31"/>
      <c r="D938" s="31"/>
      <c r="E938" s="31"/>
      <c r="F938" s="108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6.5" customHeight="1">
      <c r="A939" s="108"/>
      <c r="B939" s="31"/>
      <c r="C939" s="31"/>
      <c r="D939" s="31"/>
      <c r="E939" s="31"/>
      <c r="F939" s="108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6.5" customHeight="1">
      <c r="A940" s="108"/>
      <c r="B940" s="31"/>
      <c r="C940" s="31"/>
      <c r="D940" s="31"/>
      <c r="E940" s="31"/>
      <c r="F940" s="108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6.5" customHeight="1">
      <c r="A941" s="108"/>
      <c r="B941" s="31"/>
      <c r="C941" s="31"/>
      <c r="D941" s="31"/>
      <c r="E941" s="31"/>
      <c r="F941" s="108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6.5" customHeight="1">
      <c r="A942" s="108"/>
      <c r="B942" s="31"/>
      <c r="C942" s="31"/>
      <c r="D942" s="31"/>
      <c r="E942" s="31"/>
      <c r="F942" s="108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6.5" customHeight="1">
      <c r="A943" s="108"/>
      <c r="B943" s="31"/>
      <c r="C943" s="31"/>
      <c r="D943" s="31"/>
      <c r="E943" s="31"/>
      <c r="F943" s="108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6.5" customHeight="1">
      <c r="A944" s="108"/>
      <c r="B944" s="31"/>
      <c r="C944" s="31"/>
      <c r="D944" s="31"/>
      <c r="E944" s="31"/>
      <c r="F944" s="108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6.5" customHeight="1">
      <c r="A945" s="108"/>
      <c r="B945" s="31"/>
      <c r="C945" s="31"/>
      <c r="D945" s="31"/>
      <c r="E945" s="31"/>
      <c r="F945" s="108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6.5" customHeight="1">
      <c r="A946" s="108"/>
      <c r="B946" s="31"/>
      <c r="C946" s="31"/>
      <c r="D946" s="31"/>
      <c r="E946" s="31"/>
      <c r="F946" s="108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6.5" customHeight="1">
      <c r="A947" s="108"/>
      <c r="B947" s="31"/>
      <c r="C947" s="31"/>
      <c r="D947" s="31"/>
      <c r="E947" s="31"/>
      <c r="F947" s="108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6.5" customHeight="1">
      <c r="A948" s="108"/>
      <c r="B948" s="31"/>
      <c r="C948" s="31"/>
      <c r="D948" s="31"/>
      <c r="E948" s="31"/>
      <c r="F948" s="108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6.5" customHeight="1">
      <c r="A949" s="108"/>
      <c r="B949" s="31"/>
      <c r="C949" s="31"/>
      <c r="D949" s="31"/>
      <c r="E949" s="31"/>
      <c r="F949" s="108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6.5" customHeight="1">
      <c r="A950" s="108"/>
      <c r="B950" s="31"/>
      <c r="C950" s="31"/>
      <c r="D950" s="31"/>
      <c r="E950" s="31"/>
      <c r="F950" s="108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6.5" customHeight="1">
      <c r="A951" s="108"/>
      <c r="B951" s="31"/>
      <c r="C951" s="31"/>
      <c r="D951" s="31"/>
      <c r="E951" s="31"/>
      <c r="F951" s="108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6.5" customHeight="1">
      <c r="A952" s="108"/>
      <c r="B952" s="31"/>
      <c r="C952" s="31"/>
      <c r="D952" s="31"/>
      <c r="E952" s="31"/>
      <c r="F952" s="108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6.5" customHeight="1">
      <c r="A953" s="108"/>
      <c r="B953" s="31"/>
      <c r="C953" s="31"/>
      <c r="D953" s="31"/>
      <c r="E953" s="31"/>
      <c r="F953" s="108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6.5" customHeight="1">
      <c r="A954" s="108"/>
      <c r="B954" s="31"/>
      <c r="C954" s="31"/>
      <c r="D954" s="31"/>
      <c r="E954" s="31"/>
      <c r="F954" s="108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6.5" customHeight="1">
      <c r="A955" s="108"/>
      <c r="B955" s="31"/>
      <c r="C955" s="31"/>
      <c r="D955" s="31"/>
      <c r="E955" s="31"/>
      <c r="F955" s="108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6.5" customHeight="1">
      <c r="A956" s="108"/>
      <c r="B956" s="31"/>
      <c r="C956" s="31"/>
      <c r="D956" s="31"/>
      <c r="E956" s="31"/>
      <c r="F956" s="108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6.5" customHeight="1">
      <c r="A957" s="108"/>
      <c r="B957" s="31"/>
      <c r="C957" s="31"/>
      <c r="D957" s="31"/>
      <c r="E957" s="31"/>
      <c r="F957" s="108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6.5" customHeight="1">
      <c r="A958" s="108"/>
      <c r="B958" s="31"/>
      <c r="C958" s="31"/>
      <c r="D958" s="31"/>
      <c r="E958" s="31"/>
      <c r="F958" s="108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6.5" customHeight="1">
      <c r="A959" s="108"/>
      <c r="B959" s="31"/>
      <c r="C959" s="31"/>
      <c r="D959" s="31"/>
      <c r="E959" s="31"/>
      <c r="F959" s="108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6.5" customHeight="1">
      <c r="A960" s="108"/>
      <c r="B960" s="31"/>
      <c r="C960" s="31"/>
      <c r="D960" s="31"/>
      <c r="E960" s="31"/>
      <c r="F960" s="108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6.5" customHeight="1">
      <c r="A961" s="108"/>
      <c r="B961" s="31"/>
      <c r="C961" s="31"/>
      <c r="D961" s="31"/>
      <c r="E961" s="31"/>
      <c r="F961" s="108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6.5" customHeight="1">
      <c r="A962" s="108"/>
      <c r="B962" s="31"/>
      <c r="C962" s="31"/>
      <c r="D962" s="31"/>
      <c r="E962" s="31"/>
      <c r="F962" s="108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6.5" customHeight="1">
      <c r="A963" s="108"/>
      <c r="B963" s="31"/>
      <c r="C963" s="31"/>
      <c r="D963" s="31"/>
      <c r="E963" s="31"/>
      <c r="F963" s="108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6.5" customHeight="1">
      <c r="A964" s="108"/>
      <c r="B964" s="31"/>
      <c r="C964" s="31"/>
      <c r="D964" s="31"/>
      <c r="E964" s="31"/>
      <c r="F964" s="108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6.5" customHeight="1">
      <c r="A965" s="108"/>
      <c r="B965" s="31"/>
      <c r="C965" s="31"/>
      <c r="D965" s="31"/>
      <c r="E965" s="31"/>
      <c r="F965" s="108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6.5" customHeight="1">
      <c r="A966" s="108"/>
      <c r="B966" s="31"/>
      <c r="C966" s="31"/>
      <c r="D966" s="31"/>
      <c r="E966" s="31"/>
      <c r="F966" s="108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6.5" customHeight="1">
      <c r="A967" s="108"/>
      <c r="B967" s="31"/>
      <c r="C967" s="31"/>
      <c r="D967" s="31"/>
      <c r="E967" s="31"/>
      <c r="F967" s="108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6.5" customHeight="1">
      <c r="A968" s="108"/>
      <c r="B968" s="31"/>
      <c r="C968" s="31"/>
      <c r="D968" s="31"/>
      <c r="E968" s="31"/>
      <c r="F968" s="108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6.5" customHeight="1">
      <c r="A969" s="108"/>
      <c r="B969" s="31"/>
      <c r="C969" s="31"/>
      <c r="D969" s="31"/>
      <c r="E969" s="31"/>
      <c r="F969" s="108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6.5" customHeight="1">
      <c r="A970" s="108"/>
      <c r="B970" s="31"/>
      <c r="C970" s="31"/>
      <c r="D970" s="31"/>
      <c r="E970" s="31"/>
      <c r="F970" s="108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6.5" customHeight="1">
      <c r="A971" s="108"/>
      <c r="B971" s="31"/>
      <c r="C971" s="31"/>
      <c r="D971" s="31"/>
      <c r="E971" s="31"/>
      <c r="F971" s="108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6.5" customHeight="1">
      <c r="A972" s="108"/>
      <c r="B972" s="31"/>
      <c r="C972" s="31"/>
      <c r="D972" s="31"/>
      <c r="E972" s="31"/>
      <c r="F972" s="108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6.5" customHeight="1">
      <c r="A973" s="108"/>
      <c r="B973" s="31"/>
      <c r="C973" s="31"/>
      <c r="D973" s="31"/>
      <c r="E973" s="31"/>
      <c r="F973" s="108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6.5" customHeight="1">
      <c r="A974" s="108"/>
      <c r="B974" s="31"/>
      <c r="C974" s="31"/>
      <c r="D974" s="31"/>
      <c r="E974" s="31"/>
      <c r="F974" s="108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6.5" customHeight="1">
      <c r="A975" s="108"/>
      <c r="B975" s="31"/>
      <c r="C975" s="31"/>
      <c r="D975" s="31"/>
      <c r="E975" s="31"/>
      <c r="F975" s="108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6.5" customHeight="1">
      <c r="A976" s="108"/>
      <c r="B976" s="31"/>
      <c r="C976" s="31"/>
      <c r="D976" s="31"/>
      <c r="E976" s="31"/>
      <c r="F976" s="108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6.5" customHeight="1">
      <c r="A977" s="108"/>
      <c r="B977" s="31"/>
      <c r="C977" s="31"/>
      <c r="D977" s="31"/>
      <c r="E977" s="31"/>
      <c r="F977" s="108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6.5" customHeight="1">
      <c r="A978" s="108"/>
      <c r="B978" s="31"/>
      <c r="C978" s="31"/>
      <c r="D978" s="31"/>
      <c r="E978" s="31"/>
      <c r="F978" s="108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6.5" customHeight="1">
      <c r="A979" s="108"/>
      <c r="B979" s="31"/>
      <c r="C979" s="31"/>
      <c r="D979" s="31"/>
      <c r="E979" s="31"/>
      <c r="F979" s="108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6.5" customHeight="1">
      <c r="A980" s="108"/>
      <c r="B980" s="31"/>
      <c r="C980" s="31"/>
      <c r="D980" s="31"/>
      <c r="E980" s="31"/>
      <c r="F980" s="108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6.5" customHeight="1">
      <c r="A981" s="108"/>
      <c r="B981" s="31"/>
      <c r="C981" s="31"/>
      <c r="D981" s="31"/>
      <c r="E981" s="31"/>
      <c r="F981" s="108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6.5" customHeight="1">
      <c r="A982" s="108"/>
      <c r="B982" s="31"/>
      <c r="C982" s="31"/>
      <c r="D982" s="31"/>
      <c r="E982" s="31"/>
      <c r="F982" s="108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6.5" customHeight="1">
      <c r="A983" s="108"/>
      <c r="B983" s="31"/>
      <c r="C983" s="31"/>
      <c r="D983" s="31"/>
      <c r="E983" s="31"/>
      <c r="F983" s="108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6.5" customHeight="1">
      <c r="A984" s="108"/>
      <c r="B984" s="31"/>
      <c r="C984" s="31"/>
      <c r="D984" s="31"/>
      <c r="E984" s="31"/>
      <c r="F984" s="108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6.5" customHeight="1">
      <c r="A985" s="108"/>
      <c r="B985" s="31"/>
      <c r="C985" s="31"/>
      <c r="D985" s="31"/>
      <c r="E985" s="31"/>
      <c r="F985" s="108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6.5" customHeight="1">
      <c r="A986" s="108"/>
      <c r="B986" s="31"/>
      <c r="C986" s="31"/>
      <c r="D986" s="31"/>
      <c r="E986" s="31"/>
      <c r="F986" s="108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6.5" customHeight="1">
      <c r="A987" s="108"/>
      <c r="B987" s="31"/>
      <c r="C987" s="31"/>
      <c r="D987" s="31"/>
      <c r="E987" s="31"/>
      <c r="F987" s="108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6.5" customHeight="1">
      <c r="A988" s="108"/>
      <c r="B988" s="31"/>
      <c r="C988" s="31"/>
      <c r="D988" s="31"/>
      <c r="E988" s="31"/>
      <c r="F988" s="108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6.5" customHeight="1">
      <c r="A989" s="108"/>
      <c r="B989" s="31"/>
      <c r="C989" s="31"/>
      <c r="D989" s="31"/>
      <c r="E989" s="31"/>
      <c r="F989" s="108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6.5" customHeight="1">
      <c r="A990" s="108"/>
      <c r="B990" s="31"/>
      <c r="C990" s="31"/>
      <c r="D990" s="31"/>
      <c r="E990" s="31"/>
      <c r="F990" s="108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6.5" customHeight="1">
      <c r="A991" s="108"/>
      <c r="B991" s="31"/>
      <c r="C991" s="31"/>
      <c r="D991" s="31"/>
      <c r="E991" s="31"/>
      <c r="F991" s="108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6.5" customHeight="1">
      <c r="A992" s="108"/>
      <c r="B992" s="31"/>
      <c r="C992" s="31"/>
      <c r="D992" s="31"/>
      <c r="E992" s="31"/>
      <c r="F992" s="108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6.5" customHeight="1">
      <c r="A993" s="108"/>
      <c r="B993" s="31"/>
      <c r="C993" s="31"/>
      <c r="D993" s="31"/>
      <c r="E993" s="31"/>
      <c r="F993" s="108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6.5" customHeight="1">
      <c r="A994" s="108"/>
      <c r="B994" s="31"/>
      <c r="C994" s="31"/>
      <c r="D994" s="31"/>
      <c r="E994" s="31"/>
      <c r="F994" s="108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6.5" customHeight="1">
      <c r="A995" s="108"/>
      <c r="B995" s="31"/>
      <c r="C995" s="31"/>
      <c r="D995" s="31"/>
      <c r="E995" s="31"/>
      <c r="F995" s="108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6.5" customHeight="1">
      <c r="A996" s="108"/>
      <c r="B996" s="31"/>
      <c r="C996" s="31"/>
      <c r="D996" s="31"/>
      <c r="E996" s="31"/>
      <c r="F996" s="108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6.5" customHeight="1">
      <c r="A997" s="108"/>
      <c r="B997" s="31"/>
      <c r="C997" s="31"/>
      <c r="D997" s="31"/>
      <c r="E997" s="31"/>
      <c r="F997" s="108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6.5" customHeight="1">
      <c r="A998" s="108"/>
      <c r="B998" s="31"/>
      <c r="C998" s="31"/>
      <c r="D998" s="31"/>
      <c r="E998" s="31"/>
      <c r="F998" s="108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6.5" customHeight="1">
      <c r="A999" s="108"/>
      <c r="B999" s="31"/>
      <c r="C999" s="31"/>
      <c r="D999" s="31"/>
      <c r="E999" s="31"/>
      <c r="F999" s="108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6.5" customHeight="1">
      <c r="A1000" s="108"/>
      <c r="B1000" s="31"/>
      <c r="C1000" s="31"/>
      <c r="D1000" s="31"/>
      <c r="E1000" s="31"/>
      <c r="F1000" s="108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32">
    <mergeCell ref="A7:A8"/>
    <mergeCell ref="A9:A10"/>
    <mergeCell ref="A1:F1"/>
    <mergeCell ref="A2:F2"/>
    <mergeCell ref="B3:D3"/>
    <mergeCell ref="B4:D4"/>
    <mergeCell ref="B5:D5"/>
    <mergeCell ref="B6:F6"/>
    <mergeCell ref="B7:D8"/>
    <mergeCell ref="B9:C9"/>
    <mergeCell ref="E9:F9"/>
    <mergeCell ref="B10:C10"/>
    <mergeCell ref="D10:F10"/>
    <mergeCell ref="C11:D12"/>
    <mergeCell ref="E11:E12"/>
    <mergeCell ref="A13:D13"/>
    <mergeCell ref="A22:A23"/>
    <mergeCell ref="A24:A25"/>
    <mergeCell ref="B24:C24"/>
    <mergeCell ref="E24:F24"/>
    <mergeCell ref="B25:C25"/>
    <mergeCell ref="D25:F25"/>
    <mergeCell ref="C26:D27"/>
    <mergeCell ref="E26:E27"/>
    <mergeCell ref="A28:D28"/>
    <mergeCell ref="A16:F16"/>
    <mergeCell ref="A17:F17"/>
    <mergeCell ref="B18:D18"/>
    <mergeCell ref="B19:D19"/>
    <mergeCell ref="B20:D20"/>
    <mergeCell ref="B21:F21"/>
    <mergeCell ref="B22:D23"/>
  </mergeCells>
  <conditionalFormatting sqref="A13">
    <cfRule type="notContainsBlanks" dxfId="0" priority="1" stopIfTrue="1">
      <formula>LEN(TRIM(A13))&gt;0</formula>
    </cfRule>
  </conditionalFormatting>
  <conditionalFormatting sqref="A28">
    <cfRule type="notContainsBlanks" dxfId="0" priority="2" stopIfTrue="1">
      <formula>LEN(TRIM(A28))&gt;0</formula>
    </cfRule>
  </conditionalFormatting>
  <dataValidations>
    <dataValidation type="list" allowBlank="1" sqref="F8">
      <formula1>"(取回-客戶簽收人的名片)"</formula1>
    </dataValidation>
  </dataValidations>
  <printOptions horizontalCentered="1"/>
  <pageMargins bottom="0.1968503937007874" footer="0.0" header="0.0" left="0.6299212598425197" right="0.2755905511811024" top="0.3937007874015748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FF"/>
    <pageSetUpPr/>
  </sheetPr>
  <sheetViews>
    <sheetView workbookViewId="0"/>
  </sheetViews>
  <sheetFormatPr customHeight="1" defaultColWidth="11.22" defaultRowHeight="15.0"/>
  <cols>
    <col customWidth="1" min="1" max="1" width="18.0"/>
    <col customWidth="1" min="2" max="2" width="23.0"/>
    <col customWidth="1" min="3" max="3" width="17.22"/>
    <col customWidth="1" min="4" max="4" width="0.89"/>
    <col customWidth="1" min="5" max="26" width="7.0"/>
  </cols>
  <sheetData>
    <row r="1" ht="16.5" customHeight="1">
      <c r="A1" s="112" t="s">
        <v>268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 ht="16.5" customHeight="1">
      <c r="A2" s="114"/>
      <c r="B2" s="114"/>
      <c r="C2" s="114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 ht="62.25" customHeight="1">
      <c r="A3" s="115" t="s">
        <v>269</v>
      </c>
      <c r="B3" s="116" t="s">
        <v>270</v>
      </c>
      <c r="C3" s="117" t="s">
        <v>271</v>
      </c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 ht="43.5" customHeight="1">
      <c r="A4" s="118" t="s">
        <v>186</v>
      </c>
      <c r="B4" s="119" t="s">
        <v>272</v>
      </c>
      <c r="C4" s="120" t="s">
        <v>273</v>
      </c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 ht="58.5" customHeight="1">
      <c r="A5" s="121"/>
      <c r="B5" s="121"/>
      <c r="C5" s="121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 ht="6.75" customHeight="1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 ht="16.5" customHeight="1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</row>
    <row r="8" ht="16.5" customHeight="1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 ht="12.75" customHeight="1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 ht="16.5" customHeight="1">
      <c r="A10" s="113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</row>
    <row r="11" ht="16.5" customHeight="1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</row>
    <row r="12" ht="16.5" customHeight="1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</row>
    <row r="13" ht="16.5" customHeight="1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 ht="16.5" customHeight="1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 ht="16.5" customHeight="1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</row>
    <row r="16" ht="16.5" customHeight="1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 ht="16.5" customHeight="1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</row>
    <row r="18" ht="16.5" customHeight="1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 ht="16.5" customHeight="1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 ht="16.5" customHeight="1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 ht="16.5" customHeight="1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 ht="16.5" customHeight="1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 ht="16.5" customHeight="1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 ht="16.5" customHeight="1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 ht="16.5" customHeight="1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</row>
    <row r="26" ht="16.5" customHeight="1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 ht="16.5" customHeight="1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</row>
    <row r="28" ht="16.5" customHeight="1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</row>
    <row r="29" ht="16.5" customHeight="1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</row>
    <row r="30" ht="16.5" customHeight="1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 ht="16.5" customHeight="1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</row>
    <row r="32" ht="16.5" customHeight="1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 ht="16.5" customHeight="1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 ht="16.5" customHeight="1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</row>
    <row r="35" ht="16.5" customHeight="1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</row>
    <row r="36" ht="16.5" customHeight="1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 ht="16.5" customHeight="1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 ht="16.5" customHeight="1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 ht="16.5" customHeight="1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</row>
    <row r="40" ht="16.5" customHeight="1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</row>
    <row r="41" ht="16.5" customHeight="1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 ht="16.5" customHeight="1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</row>
    <row r="43" ht="16.5" customHeight="1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 ht="16.5" customHeight="1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 ht="16.5" customHeight="1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 ht="16.5" customHeight="1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 ht="16.5" customHeight="1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 ht="16.5" customHeight="1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 ht="16.5" customHeight="1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 ht="16.5" customHeight="1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 ht="16.5" customHeight="1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 ht="16.5" customHeight="1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 ht="16.5" customHeight="1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 ht="16.5" customHeight="1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 ht="16.5" customHeight="1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 ht="16.5" customHeight="1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 ht="16.5" customHeight="1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 ht="16.5" customHeight="1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 ht="16.5" customHeight="1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 ht="16.5" customHeight="1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 ht="16.5" customHeight="1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 ht="16.5" customHeight="1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 ht="16.5" customHeight="1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 ht="16.5" customHeight="1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 ht="16.5" customHeight="1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 ht="16.5" customHeight="1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 ht="16.5" customHeight="1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 ht="16.5" customHeight="1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 ht="16.5" customHeight="1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 ht="16.5" customHeight="1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 ht="16.5" customHeight="1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 ht="16.5" customHeight="1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 ht="16.5" customHeight="1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 ht="16.5" customHeight="1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 ht="16.5" customHeight="1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 ht="16.5" customHeight="1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 ht="16.5" customHeight="1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 ht="16.5" customHeight="1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 ht="16.5" customHeight="1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 ht="16.5" customHeight="1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 ht="16.5" customHeight="1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 ht="16.5" customHeight="1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 ht="16.5" customHeight="1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 ht="16.5" customHeight="1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 ht="16.5" customHeight="1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 ht="16.5" customHeight="1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 ht="16.5" customHeight="1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 ht="16.5" customHeight="1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 ht="16.5" customHeight="1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 ht="16.5" customHeight="1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 ht="16.5" customHeight="1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 ht="16.5" customHeight="1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 ht="16.5" customHeight="1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 ht="16.5" customHeight="1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 ht="16.5" customHeight="1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 ht="16.5" customHeight="1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 ht="16.5" customHeight="1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 ht="16.5" customHeight="1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 ht="16.5" customHeight="1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 ht="16.5" customHeight="1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 ht="16.5" customHeight="1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 ht="16.5" customHeight="1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 ht="16.5" customHeight="1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 ht="16.5" customHeight="1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 ht="16.5" customHeight="1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 ht="16.5" customHeight="1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 ht="16.5" customHeight="1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 ht="16.5" customHeight="1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 ht="16.5" customHeight="1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 ht="16.5" customHeight="1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 ht="16.5" customHeight="1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 ht="16.5" customHeight="1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 ht="16.5" customHeight="1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 ht="16.5" customHeight="1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 ht="16.5" customHeight="1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 ht="16.5" customHeight="1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 ht="16.5" customHeight="1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 ht="16.5" customHeight="1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 ht="16.5" customHeight="1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 ht="16.5" customHeight="1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 ht="16.5" customHeight="1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 ht="16.5" customHeight="1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 ht="16.5" customHeight="1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 ht="16.5" customHeight="1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 ht="16.5" customHeight="1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 ht="16.5" customHeight="1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 ht="16.5" customHeight="1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 ht="16.5" customHeight="1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 ht="16.5" customHeight="1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 ht="16.5" customHeight="1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 ht="16.5" customHeight="1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 ht="16.5" customHeight="1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 ht="16.5" customHeight="1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 ht="16.5" customHeight="1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 ht="16.5" customHeight="1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 ht="16.5" customHeight="1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 ht="16.5" customHeight="1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 ht="16.5" customHeight="1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 ht="16.5" customHeight="1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 ht="16.5" customHeight="1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 ht="16.5" customHeight="1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 ht="16.5" customHeight="1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 ht="16.5" customHeight="1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 ht="16.5" customHeight="1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 ht="16.5" customHeight="1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 ht="16.5" customHeight="1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 ht="16.5" customHeight="1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 ht="16.5" customHeight="1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 ht="16.5" customHeight="1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 ht="16.5" customHeight="1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 ht="16.5" customHeight="1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 ht="16.5" customHeight="1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 ht="16.5" customHeight="1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 ht="16.5" customHeight="1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 ht="16.5" customHeight="1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 ht="16.5" customHeight="1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 ht="16.5" customHeight="1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 ht="16.5" customHeight="1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 ht="16.5" customHeight="1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 ht="16.5" customHeight="1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 ht="16.5" customHeight="1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 ht="16.5" customHeight="1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 ht="16.5" customHeight="1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 ht="16.5" customHeight="1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 ht="16.5" customHeight="1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 ht="16.5" customHeight="1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 ht="16.5" customHeight="1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 ht="16.5" customHeight="1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 ht="16.5" customHeight="1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 ht="16.5" customHeight="1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 ht="16.5" customHeight="1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 ht="16.5" customHeight="1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 ht="16.5" customHeight="1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 ht="16.5" customHeight="1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 ht="16.5" customHeight="1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 ht="16.5" customHeight="1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 ht="16.5" customHeight="1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 ht="16.5" customHeight="1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 ht="16.5" customHeight="1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 ht="16.5" customHeight="1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 ht="16.5" customHeight="1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 ht="16.5" customHeight="1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 ht="16.5" customHeight="1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 ht="16.5" customHeight="1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 ht="16.5" customHeight="1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 ht="16.5" customHeight="1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 ht="16.5" customHeight="1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 ht="16.5" customHeight="1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 ht="16.5" customHeight="1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 ht="16.5" customHeight="1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 ht="16.5" customHeight="1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 ht="16.5" customHeight="1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 ht="16.5" customHeight="1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 ht="16.5" customHeight="1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 ht="16.5" customHeight="1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 ht="16.5" customHeight="1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 ht="16.5" customHeight="1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 ht="16.5" customHeight="1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 ht="16.5" customHeight="1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 ht="16.5" customHeight="1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  <row r="201" ht="16.5" customHeight="1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</row>
    <row r="202" ht="16.5" customHeight="1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</row>
    <row r="203" ht="16.5" customHeight="1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</row>
    <row r="204" ht="16.5" customHeight="1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</row>
    <row r="205" ht="16.5" customHeight="1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</row>
    <row r="206" ht="16.5" customHeight="1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</row>
    <row r="207" ht="16.5" customHeight="1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</row>
    <row r="208" ht="16.5" customHeight="1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</row>
    <row r="209" ht="16.5" customHeight="1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</row>
    <row r="210" ht="16.5" customHeight="1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</row>
    <row r="211" ht="16.5" customHeight="1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</row>
    <row r="212" ht="16.5" customHeight="1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</row>
    <row r="213" ht="16.5" customHeight="1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</row>
    <row r="214" ht="16.5" customHeight="1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</row>
    <row r="215" ht="16.5" customHeight="1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</row>
    <row r="216" ht="16.5" customHeight="1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</row>
    <row r="217" ht="16.5" customHeight="1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</row>
    <row r="218" ht="16.5" customHeight="1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</row>
    <row r="219" ht="16.5" customHeight="1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</row>
    <row r="220" ht="16.5" customHeight="1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</row>
    <row r="221" ht="16.5" customHeight="1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</row>
    <row r="222" ht="16.5" customHeight="1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</row>
    <row r="223" ht="16.5" customHeight="1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</row>
    <row r="224" ht="16.5" customHeight="1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</row>
    <row r="225" ht="16.5" customHeight="1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</row>
    <row r="226" ht="16.5" customHeight="1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</row>
    <row r="227" ht="16.5" customHeight="1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</row>
    <row r="228" ht="16.5" customHeight="1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</row>
    <row r="229" ht="16.5" customHeight="1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</row>
    <row r="230" ht="16.5" customHeight="1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</row>
    <row r="231" ht="16.5" customHeight="1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</row>
    <row r="232" ht="16.5" customHeight="1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</row>
    <row r="233" ht="16.5" customHeight="1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</row>
    <row r="234" ht="16.5" customHeight="1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</row>
    <row r="235" ht="16.5" customHeight="1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</row>
    <row r="236" ht="16.5" customHeight="1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</row>
    <row r="237" ht="16.5" customHeight="1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</row>
    <row r="238" ht="16.5" customHeight="1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</row>
    <row r="239" ht="16.5" customHeight="1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</row>
    <row r="240" ht="16.5" customHeight="1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</row>
    <row r="241" ht="16.5" customHeight="1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</row>
    <row r="242" ht="16.5" customHeight="1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</row>
    <row r="243" ht="16.5" customHeight="1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</row>
    <row r="244" ht="16.5" customHeight="1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</row>
    <row r="245" ht="16.5" customHeight="1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</row>
    <row r="246" ht="16.5" customHeight="1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</row>
    <row r="247" ht="16.5" customHeight="1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</row>
    <row r="248" ht="16.5" customHeight="1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</row>
    <row r="249" ht="16.5" customHeight="1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</row>
    <row r="250" ht="16.5" customHeight="1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</row>
    <row r="251" ht="16.5" customHeight="1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</row>
    <row r="252" ht="16.5" customHeight="1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</row>
    <row r="253" ht="16.5" customHeight="1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</row>
    <row r="254" ht="16.5" customHeight="1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</row>
    <row r="255" ht="16.5" customHeight="1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</row>
    <row r="256" ht="16.5" customHeight="1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</row>
    <row r="257" ht="16.5" customHeight="1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</row>
    <row r="258" ht="16.5" customHeight="1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</row>
    <row r="259" ht="16.5" customHeight="1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</row>
    <row r="260" ht="16.5" customHeight="1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</row>
    <row r="261" ht="16.5" customHeight="1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</row>
    <row r="262" ht="16.5" customHeight="1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</row>
    <row r="263" ht="16.5" customHeight="1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</row>
    <row r="264" ht="16.5" customHeight="1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</row>
    <row r="265" ht="16.5" customHeight="1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</row>
    <row r="266" ht="16.5" customHeight="1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</row>
    <row r="267" ht="16.5" customHeight="1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</row>
    <row r="268" ht="16.5" customHeight="1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</row>
    <row r="269" ht="16.5" customHeight="1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</row>
    <row r="270" ht="16.5" customHeight="1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</row>
    <row r="271" ht="16.5" customHeight="1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</row>
    <row r="272" ht="16.5" customHeight="1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</row>
    <row r="273" ht="16.5" customHeight="1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</row>
    <row r="274" ht="16.5" customHeight="1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</row>
    <row r="275" ht="16.5" customHeight="1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</row>
    <row r="276" ht="16.5" customHeight="1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</row>
    <row r="277" ht="16.5" customHeight="1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</row>
    <row r="278" ht="16.5" customHeight="1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</row>
    <row r="279" ht="16.5" customHeight="1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</row>
    <row r="280" ht="16.5" customHeight="1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</row>
    <row r="281" ht="16.5" customHeight="1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</row>
    <row r="282" ht="16.5" customHeight="1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</row>
    <row r="283" ht="16.5" customHeight="1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</row>
    <row r="284" ht="16.5" customHeight="1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</row>
    <row r="285" ht="16.5" customHeight="1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</row>
    <row r="286" ht="16.5" customHeight="1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</row>
    <row r="287" ht="16.5" customHeight="1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</row>
    <row r="288" ht="16.5" customHeight="1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</row>
    <row r="289" ht="16.5" customHeight="1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</row>
    <row r="290" ht="16.5" customHeight="1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</row>
    <row r="291" ht="16.5" customHeight="1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</row>
    <row r="292" ht="16.5" customHeight="1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</row>
    <row r="293" ht="16.5" customHeight="1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</row>
    <row r="294" ht="16.5" customHeight="1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</row>
    <row r="295" ht="16.5" customHeight="1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</row>
    <row r="296" ht="16.5" customHeight="1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</row>
    <row r="297" ht="16.5" customHeight="1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</row>
    <row r="298" ht="16.5" customHeight="1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</row>
    <row r="299" ht="16.5" customHeight="1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</row>
    <row r="300" ht="16.5" customHeight="1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</row>
    <row r="301" ht="16.5" customHeight="1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</row>
    <row r="302" ht="16.5" customHeight="1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</row>
    <row r="303" ht="16.5" customHeight="1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</row>
    <row r="304" ht="16.5" customHeight="1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</row>
    <row r="305" ht="16.5" customHeight="1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</row>
    <row r="306" ht="16.5" customHeight="1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</row>
    <row r="307" ht="16.5" customHeight="1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</row>
    <row r="308" ht="16.5" customHeight="1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</row>
    <row r="309" ht="16.5" customHeight="1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</row>
    <row r="310" ht="16.5" customHeight="1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</row>
    <row r="311" ht="16.5" customHeight="1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</row>
    <row r="312" ht="16.5" customHeight="1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</row>
    <row r="313" ht="16.5" customHeight="1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</row>
    <row r="314" ht="16.5" customHeight="1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</row>
    <row r="315" ht="16.5" customHeight="1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</row>
    <row r="316" ht="16.5" customHeight="1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</row>
    <row r="317" ht="16.5" customHeight="1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</row>
    <row r="318" ht="16.5" customHeight="1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</row>
    <row r="319" ht="16.5" customHeight="1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</row>
    <row r="320" ht="16.5" customHeight="1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</row>
    <row r="321" ht="16.5" customHeight="1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</row>
    <row r="322" ht="16.5" customHeight="1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</row>
    <row r="323" ht="16.5" customHeight="1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</row>
    <row r="324" ht="16.5" customHeight="1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</row>
    <row r="325" ht="16.5" customHeight="1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</row>
    <row r="326" ht="16.5" customHeight="1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</row>
    <row r="327" ht="16.5" customHeight="1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</row>
    <row r="328" ht="16.5" customHeight="1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</row>
    <row r="329" ht="16.5" customHeight="1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</row>
    <row r="330" ht="16.5" customHeight="1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</row>
    <row r="331" ht="16.5" customHeight="1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</row>
    <row r="332" ht="16.5" customHeight="1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</row>
    <row r="333" ht="16.5" customHeight="1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</row>
    <row r="334" ht="16.5" customHeight="1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</row>
    <row r="335" ht="16.5" customHeight="1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</row>
    <row r="336" ht="16.5" customHeight="1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</row>
    <row r="337" ht="16.5" customHeight="1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</row>
    <row r="338" ht="16.5" customHeight="1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</row>
    <row r="339" ht="16.5" customHeight="1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</row>
    <row r="340" ht="16.5" customHeight="1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</row>
    <row r="341" ht="16.5" customHeight="1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</row>
    <row r="342" ht="16.5" customHeight="1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</row>
    <row r="343" ht="16.5" customHeight="1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</row>
    <row r="344" ht="16.5" customHeight="1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</row>
    <row r="345" ht="16.5" customHeight="1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</row>
    <row r="346" ht="16.5" customHeight="1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</row>
    <row r="347" ht="16.5" customHeight="1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</row>
    <row r="348" ht="16.5" customHeight="1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</row>
    <row r="349" ht="16.5" customHeight="1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</row>
    <row r="350" ht="16.5" customHeight="1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</row>
    <row r="351" ht="16.5" customHeight="1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</row>
    <row r="352" ht="16.5" customHeight="1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</row>
    <row r="353" ht="16.5" customHeight="1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</row>
    <row r="354" ht="16.5" customHeight="1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</row>
    <row r="355" ht="16.5" customHeight="1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</row>
    <row r="356" ht="16.5" customHeight="1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</row>
    <row r="357" ht="16.5" customHeight="1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</row>
    <row r="358" ht="16.5" customHeight="1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</row>
    <row r="359" ht="16.5" customHeight="1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</row>
    <row r="360" ht="16.5" customHeight="1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</row>
    <row r="361" ht="16.5" customHeight="1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</row>
    <row r="362" ht="16.5" customHeight="1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</row>
    <row r="363" ht="16.5" customHeight="1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</row>
    <row r="364" ht="16.5" customHeight="1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</row>
    <row r="365" ht="16.5" customHeight="1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</row>
    <row r="366" ht="16.5" customHeight="1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</row>
    <row r="367" ht="16.5" customHeight="1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</row>
    <row r="368" ht="16.5" customHeight="1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</row>
    <row r="369" ht="16.5" customHeight="1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</row>
    <row r="370" ht="16.5" customHeight="1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</row>
    <row r="371" ht="16.5" customHeight="1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</row>
    <row r="372" ht="16.5" customHeight="1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</row>
    <row r="373" ht="16.5" customHeight="1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</row>
    <row r="374" ht="16.5" customHeight="1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</row>
    <row r="375" ht="16.5" customHeight="1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</row>
    <row r="376" ht="16.5" customHeight="1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</row>
    <row r="377" ht="16.5" customHeight="1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</row>
    <row r="378" ht="16.5" customHeight="1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</row>
    <row r="379" ht="16.5" customHeight="1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</row>
    <row r="380" ht="16.5" customHeight="1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</row>
    <row r="381" ht="16.5" customHeight="1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</row>
    <row r="382" ht="16.5" customHeight="1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</row>
    <row r="383" ht="16.5" customHeight="1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</row>
    <row r="384" ht="16.5" customHeight="1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</row>
    <row r="385" ht="16.5" customHeight="1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</row>
    <row r="386" ht="16.5" customHeight="1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</row>
    <row r="387" ht="16.5" customHeight="1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</row>
    <row r="388" ht="16.5" customHeight="1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</row>
    <row r="389" ht="16.5" customHeight="1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</row>
    <row r="390" ht="16.5" customHeight="1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</row>
    <row r="391" ht="16.5" customHeight="1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</row>
    <row r="392" ht="16.5" customHeight="1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</row>
    <row r="393" ht="16.5" customHeight="1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</row>
    <row r="394" ht="16.5" customHeight="1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</row>
    <row r="395" ht="16.5" customHeight="1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</row>
    <row r="396" ht="16.5" customHeight="1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</row>
    <row r="397" ht="16.5" customHeight="1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</row>
    <row r="398" ht="16.5" customHeight="1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</row>
    <row r="399" ht="16.5" customHeight="1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</row>
    <row r="400" ht="16.5" customHeight="1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</row>
    <row r="401" ht="16.5" customHeight="1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</row>
    <row r="402" ht="16.5" customHeight="1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</row>
    <row r="403" ht="16.5" customHeight="1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</row>
    <row r="404" ht="16.5" customHeight="1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</row>
    <row r="405" ht="16.5" customHeight="1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</row>
    <row r="406" ht="16.5" customHeight="1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</row>
    <row r="407" ht="16.5" customHeight="1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</row>
    <row r="408" ht="16.5" customHeight="1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</row>
    <row r="409" ht="16.5" customHeight="1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</row>
    <row r="410" ht="16.5" customHeight="1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</row>
    <row r="411" ht="16.5" customHeight="1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</row>
    <row r="412" ht="16.5" customHeight="1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</row>
    <row r="413" ht="16.5" customHeight="1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</row>
    <row r="414" ht="16.5" customHeight="1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</row>
    <row r="415" ht="16.5" customHeight="1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</row>
    <row r="416" ht="16.5" customHeight="1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</row>
    <row r="417" ht="16.5" customHeight="1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</row>
    <row r="418" ht="16.5" customHeight="1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</row>
    <row r="419" ht="16.5" customHeight="1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</row>
    <row r="420" ht="16.5" customHeight="1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</row>
    <row r="421" ht="16.5" customHeight="1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</row>
    <row r="422" ht="16.5" customHeight="1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</row>
    <row r="423" ht="16.5" customHeight="1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</row>
    <row r="424" ht="16.5" customHeight="1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</row>
    <row r="425" ht="16.5" customHeight="1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</row>
    <row r="426" ht="16.5" customHeight="1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</row>
    <row r="427" ht="16.5" customHeight="1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</row>
    <row r="428" ht="16.5" customHeight="1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</row>
    <row r="429" ht="16.5" customHeight="1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</row>
    <row r="430" ht="16.5" customHeight="1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</row>
    <row r="431" ht="16.5" customHeight="1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</row>
    <row r="432" ht="16.5" customHeight="1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</row>
    <row r="433" ht="16.5" customHeight="1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</row>
    <row r="434" ht="16.5" customHeight="1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</row>
    <row r="435" ht="16.5" customHeight="1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</row>
    <row r="436" ht="16.5" customHeight="1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</row>
    <row r="437" ht="16.5" customHeight="1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</row>
    <row r="438" ht="16.5" customHeight="1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</row>
    <row r="439" ht="16.5" customHeight="1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</row>
    <row r="440" ht="16.5" customHeight="1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</row>
    <row r="441" ht="16.5" customHeight="1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</row>
    <row r="442" ht="16.5" customHeight="1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</row>
    <row r="443" ht="16.5" customHeight="1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</row>
    <row r="444" ht="16.5" customHeight="1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</row>
    <row r="445" ht="16.5" customHeight="1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</row>
    <row r="446" ht="16.5" customHeight="1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</row>
    <row r="447" ht="16.5" customHeight="1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</row>
    <row r="448" ht="16.5" customHeight="1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</row>
    <row r="449" ht="16.5" customHeight="1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</row>
    <row r="450" ht="16.5" customHeight="1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</row>
    <row r="451" ht="16.5" customHeight="1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</row>
    <row r="452" ht="16.5" customHeight="1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</row>
    <row r="453" ht="16.5" customHeight="1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</row>
    <row r="454" ht="16.5" customHeight="1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</row>
    <row r="455" ht="16.5" customHeight="1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</row>
    <row r="456" ht="16.5" customHeight="1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</row>
    <row r="457" ht="16.5" customHeight="1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</row>
    <row r="458" ht="16.5" customHeight="1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</row>
    <row r="459" ht="16.5" customHeight="1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</row>
    <row r="460" ht="16.5" customHeight="1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</row>
    <row r="461" ht="16.5" customHeight="1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</row>
    <row r="462" ht="16.5" customHeight="1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</row>
    <row r="463" ht="16.5" customHeight="1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</row>
    <row r="464" ht="16.5" customHeight="1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</row>
    <row r="465" ht="16.5" customHeight="1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</row>
    <row r="466" ht="16.5" customHeight="1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</row>
    <row r="467" ht="16.5" customHeight="1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</row>
    <row r="468" ht="16.5" customHeight="1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</row>
    <row r="469" ht="16.5" customHeight="1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</row>
    <row r="470" ht="16.5" customHeight="1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</row>
    <row r="471" ht="16.5" customHeight="1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</row>
    <row r="472" ht="16.5" customHeight="1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</row>
    <row r="473" ht="16.5" customHeight="1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</row>
    <row r="474" ht="16.5" customHeight="1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</row>
    <row r="475" ht="16.5" customHeight="1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</row>
    <row r="476" ht="16.5" customHeight="1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</row>
    <row r="477" ht="16.5" customHeight="1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</row>
    <row r="478" ht="16.5" customHeight="1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</row>
    <row r="479" ht="16.5" customHeight="1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</row>
    <row r="480" ht="16.5" customHeight="1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</row>
    <row r="481" ht="16.5" customHeight="1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</row>
    <row r="482" ht="16.5" customHeight="1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</row>
    <row r="483" ht="16.5" customHeight="1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</row>
    <row r="484" ht="16.5" customHeight="1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</row>
    <row r="485" ht="16.5" customHeight="1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</row>
    <row r="486" ht="16.5" customHeight="1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</row>
    <row r="487" ht="16.5" customHeight="1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</row>
    <row r="488" ht="16.5" customHeight="1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</row>
    <row r="489" ht="16.5" customHeight="1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</row>
    <row r="490" ht="16.5" customHeight="1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</row>
    <row r="491" ht="16.5" customHeight="1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</row>
    <row r="492" ht="16.5" customHeight="1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</row>
    <row r="493" ht="16.5" customHeight="1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</row>
    <row r="494" ht="16.5" customHeight="1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</row>
    <row r="495" ht="16.5" customHeight="1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</row>
    <row r="496" ht="16.5" customHeight="1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</row>
    <row r="497" ht="16.5" customHeight="1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</row>
    <row r="498" ht="16.5" customHeight="1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</row>
    <row r="499" ht="16.5" customHeight="1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</row>
    <row r="500" ht="16.5" customHeight="1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</row>
    <row r="501" ht="16.5" customHeight="1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</row>
    <row r="502" ht="16.5" customHeight="1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</row>
    <row r="503" ht="16.5" customHeight="1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</row>
    <row r="504" ht="16.5" customHeight="1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</row>
    <row r="505" ht="16.5" customHeight="1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</row>
    <row r="506" ht="16.5" customHeight="1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</row>
    <row r="507" ht="16.5" customHeight="1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</row>
    <row r="508" ht="16.5" customHeight="1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</row>
    <row r="509" ht="16.5" customHeight="1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</row>
    <row r="510" ht="16.5" customHeight="1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</row>
    <row r="511" ht="16.5" customHeight="1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</row>
    <row r="512" ht="16.5" customHeight="1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</row>
    <row r="513" ht="16.5" customHeight="1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</row>
    <row r="514" ht="16.5" customHeight="1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</row>
    <row r="515" ht="16.5" customHeight="1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</row>
    <row r="516" ht="16.5" customHeight="1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</row>
    <row r="517" ht="16.5" customHeight="1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</row>
    <row r="518" ht="16.5" customHeight="1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</row>
    <row r="519" ht="16.5" customHeight="1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</row>
    <row r="520" ht="16.5" customHeight="1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</row>
    <row r="521" ht="16.5" customHeight="1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</row>
    <row r="522" ht="16.5" customHeight="1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</row>
    <row r="523" ht="16.5" customHeight="1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</row>
    <row r="524" ht="16.5" customHeight="1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</row>
    <row r="525" ht="16.5" customHeight="1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</row>
    <row r="526" ht="16.5" customHeight="1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</row>
    <row r="527" ht="16.5" customHeight="1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</row>
    <row r="528" ht="16.5" customHeight="1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</row>
    <row r="529" ht="16.5" customHeight="1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</row>
    <row r="530" ht="16.5" customHeight="1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</row>
    <row r="531" ht="16.5" customHeight="1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</row>
    <row r="532" ht="16.5" customHeight="1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</row>
    <row r="533" ht="16.5" customHeight="1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</row>
    <row r="534" ht="16.5" customHeight="1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</row>
    <row r="535" ht="16.5" customHeight="1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</row>
    <row r="536" ht="16.5" customHeight="1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</row>
    <row r="537" ht="16.5" customHeight="1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</row>
    <row r="538" ht="16.5" customHeight="1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</row>
    <row r="539" ht="16.5" customHeight="1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</row>
    <row r="540" ht="16.5" customHeight="1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</row>
    <row r="541" ht="16.5" customHeight="1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</row>
    <row r="542" ht="16.5" customHeight="1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</row>
    <row r="543" ht="16.5" customHeight="1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</row>
    <row r="544" ht="16.5" customHeight="1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</row>
    <row r="545" ht="16.5" customHeight="1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</row>
    <row r="546" ht="16.5" customHeight="1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</row>
    <row r="547" ht="16.5" customHeight="1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</row>
    <row r="548" ht="16.5" customHeight="1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</row>
    <row r="549" ht="16.5" customHeight="1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</row>
    <row r="550" ht="16.5" customHeight="1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</row>
    <row r="551" ht="16.5" customHeight="1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</row>
    <row r="552" ht="16.5" customHeight="1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</row>
    <row r="553" ht="16.5" customHeight="1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</row>
    <row r="554" ht="16.5" customHeight="1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</row>
    <row r="555" ht="16.5" customHeight="1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</row>
    <row r="556" ht="16.5" customHeight="1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</row>
    <row r="557" ht="16.5" customHeight="1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</row>
    <row r="558" ht="16.5" customHeight="1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</row>
    <row r="559" ht="16.5" customHeight="1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</row>
    <row r="560" ht="16.5" customHeight="1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</row>
    <row r="561" ht="16.5" customHeight="1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</row>
    <row r="562" ht="16.5" customHeight="1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</row>
    <row r="563" ht="16.5" customHeight="1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</row>
    <row r="564" ht="16.5" customHeight="1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</row>
    <row r="565" ht="16.5" customHeight="1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</row>
    <row r="566" ht="16.5" customHeight="1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</row>
    <row r="567" ht="16.5" customHeight="1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</row>
    <row r="568" ht="16.5" customHeight="1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</row>
    <row r="569" ht="16.5" customHeight="1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</row>
    <row r="570" ht="16.5" customHeight="1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</row>
    <row r="571" ht="16.5" customHeight="1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</row>
    <row r="572" ht="16.5" customHeight="1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</row>
    <row r="573" ht="16.5" customHeight="1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</row>
    <row r="574" ht="16.5" customHeight="1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</row>
    <row r="575" ht="16.5" customHeight="1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</row>
    <row r="576" ht="16.5" customHeight="1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</row>
    <row r="577" ht="16.5" customHeight="1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</row>
    <row r="578" ht="16.5" customHeight="1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</row>
    <row r="579" ht="16.5" customHeight="1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</row>
    <row r="580" ht="16.5" customHeight="1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</row>
    <row r="581" ht="16.5" customHeight="1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</row>
    <row r="582" ht="16.5" customHeight="1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</row>
    <row r="583" ht="16.5" customHeight="1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</row>
    <row r="584" ht="16.5" customHeight="1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</row>
    <row r="585" ht="16.5" customHeight="1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</row>
    <row r="586" ht="16.5" customHeight="1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</row>
    <row r="587" ht="16.5" customHeight="1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</row>
    <row r="588" ht="16.5" customHeight="1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</row>
    <row r="589" ht="16.5" customHeight="1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</row>
    <row r="590" ht="16.5" customHeight="1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</row>
    <row r="591" ht="16.5" customHeight="1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</row>
    <row r="592" ht="16.5" customHeight="1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</row>
    <row r="593" ht="16.5" customHeight="1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</row>
    <row r="594" ht="16.5" customHeight="1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</row>
    <row r="595" ht="16.5" customHeight="1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</row>
    <row r="596" ht="16.5" customHeight="1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</row>
    <row r="597" ht="16.5" customHeight="1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</row>
    <row r="598" ht="16.5" customHeight="1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</row>
    <row r="599" ht="16.5" customHeight="1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</row>
    <row r="600" ht="16.5" customHeight="1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</row>
    <row r="601" ht="16.5" customHeight="1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</row>
    <row r="602" ht="16.5" customHeight="1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</row>
    <row r="603" ht="16.5" customHeight="1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</row>
    <row r="604" ht="16.5" customHeight="1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</row>
    <row r="605" ht="16.5" customHeight="1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</row>
    <row r="606" ht="16.5" customHeight="1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</row>
    <row r="607" ht="16.5" customHeight="1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</row>
    <row r="608" ht="16.5" customHeight="1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</row>
    <row r="609" ht="16.5" customHeight="1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</row>
    <row r="610" ht="16.5" customHeight="1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</row>
    <row r="611" ht="16.5" customHeight="1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</row>
    <row r="612" ht="16.5" customHeight="1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</row>
    <row r="613" ht="16.5" customHeight="1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</row>
    <row r="614" ht="16.5" customHeight="1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</row>
    <row r="615" ht="16.5" customHeight="1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</row>
    <row r="616" ht="16.5" customHeight="1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</row>
    <row r="617" ht="16.5" customHeight="1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</row>
    <row r="618" ht="16.5" customHeight="1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</row>
    <row r="619" ht="16.5" customHeight="1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</row>
    <row r="620" ht="16.5" customHeight="1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</row>
    <row r="621" ht="16.5" customHeight="1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</row>
    <row r="622" ht="16.5" customHeight="1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</row>
    <row r="623" ht="16.5" customHeight="1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</row>
    <row r="624" ht="16.5" customHeight="1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</row>
    <row r="625" ht="16.5" customHeight="1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</row>
    <row r="626" ht="16.5" customHeight="1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</row>
    <row r="627" ht="16.5" customHeight="1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</row>
    <row r="628" ht="16.5" customHeight="1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</row>
    <row r="629" ht="16.5" customHeight="1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</row>
    <row r="630" ht="16.5" customHeight="1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</row>
    <row r="631" ht="16.5" customHeight="1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</row>
    <row r="632" ht="16.5" customHeight="1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</row>
    <row r="633" ht="16.5" customHeight="1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</row>
    <row r="634" ht="16.5" customHeight="1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</row>
    <row r="635" ht="16.5" customHeight="1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</row>
    <row r="636" ht="16.5" customHeight="1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</row>
    <row r="637" ht="16.5" customHeight="1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</row>
    <row r="638" ht="16.5" customHeight="1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</row>
    <row r="639" ht="16.5" customHeight="1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</row>
    <row r="640" ht="16.5" customHeight="1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</row>
    <row r="641" ht="16.5" customHeight="1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</row>
    <row r="642" ht="16.5" customHeight="1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</row>
    <row r="643" ht="16.5" customHeight="1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</row>
    <row r="644" ht="16.5" customHeight="1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</row>
    <row r="645" ht="16.5" customHeight="1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</row>
    <row r="646" ht="16.5" customHeight="1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</row>
    <row r="647" ht="16.5" customHeight="1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</row>
    <row r="648" ht="16.5" customHeight="1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</row>
    <row r="649" ht="16.5" customHeight="1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</row>
    <row r="650" ht="16.5" customHeight="1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</row>
    <row r="651" ht="16.5" customHeight="1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</row>
    <row r="652" ht="16.5" customHeight="1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</row>
    <row r="653" ht="16.5" customHeight="1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</row>
    <row r="654" ht="16.5" customHeight="1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</row>
    <row r="655" ht="16.5" customHeight="1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</row>
    <row r="656" ht="16.5" customHeight="1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</row>
    <row r="657" ht="16.5" customHeight="1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</row>
    <row r="658" ht="16.5" customHeight="1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</row>
    <row r="659" ht="16.5" customHeight="1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</row>
    <row r="660" ht="16.5" customHeight="1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</row>
    <row r="661" ht="16.5" customHeight="1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</row>
    <row r="662" ht="16.5" customHeight="1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</row>
    <row r="663" ht="16.5" customHeight="1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</row>
    <row r="664" ht="16.5" customHeight="1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</row>
    <row r="665" ht="16.5" customHeight="1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</row>
    <row r="666" ht="16.5" customHeight="1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</row>
    <row r="667" ht="16.5" customHeight="1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</row>
    <row r="668" ht="16.5" customHeight="1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</row>
    <row r="669" ht="16.5" customHeight="1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</row>
    <row r="670" ht="16.5" customHeight="1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</row>
    <row r="671" ht="16.5" customHeight="1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</row>
    <row r="672" ht="16.5" customHeight="1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</row>
    <row r="673" ht="16.5" customHeight="1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</row>
    <row r="674" ht="16.5" customHeight="1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</row>
    <row r="675" ht="16.5" customHeight="1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</row>
    <row r="676" ht="16.5" customHeight="1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</row>
    <row r="677" ht="16.5" customHeight="1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</row>
    <row r="678" ht="16.5" customHeight="1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</row>
    <row r="679" ht="16.5" customHeight="1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</row>
    <row r="680" ht="16.5" customHeight="1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</row>
    <row r="681" ht="16.5" customHeight="1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</row>
    <row r="682" ht="16.5" customHeight="1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</row>
    <row r="683" ht="16.5" customHeight="1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</row>
    <row r="684" ht="16.5" customHeight="1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</row>
    <row r="685" ht="16.5" customHeight="1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</row>
    <row r="686" ht="16.5" customHeight="1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</row>
    <row r="687" ht="16.5" customHeight="1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</row>
    <row r="688" ht="16.5" customHeight="1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</row>
    <row r="689" ht="16.5" customHeight="1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</row>
    <row r="690" ht="16.5" customHeight="1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</row>
    <row r="691" ht="16.5" customHeight="1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</row>
    <row r="692" ht="16.5" customHeight="1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</row>
    <row r="693" ht="16.5" customHeight="1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</row>
    <row r="694" ht="16.5" customHeight="1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</row>
    <row r="695" ht="16.5" customHeight="1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</row>
    <row r="696" ht="16.5" customHeight="1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</row>
    <row r="697" ht="16.5" customHeight="1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</row>
    <row r="698" ht="16.5" customHeight="1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</row>
    <row r="699" ht="16.5" customHeight="1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</row>
    <row r="700" ht="16.5" customHeight="1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</row>
    <row r="701" ht="16.5" customHeight="1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</row>
    <row r="702" ht="16.5" customHeight="1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</row>
    <row r="703" ht="16.5" customHeight="1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</row>
    <row r="704" ht="16.5" customHeight="1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</row>
    <row r="705" ht="16.5" customHeight="1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</row>
    <row r="706" ht="16.5" customHeight="1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</row>
    <row r="707" ht="16.5" customHeight="1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</row>
    <row r="708" ht="16.5" customHeight="1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</row>
    <row r="709" ht="16.5" customHeight="1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</row>
    <row r="710" ht="16.5" customHeight="1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</row>
    <row r="711" ht="16.5" customHeight="1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</row>
    <row r="712" ht="16.5" customHeight="1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</row>
    <row r="713" ht="16.5" customHeight="1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</row>
    <row r="714" ht="16.5" customHeight="1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</row>
    <row r="715" ht="16.5" customHeight="1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</row>
    <row r="716" ht="16.5" customHeight="1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</row>
    <row r="717" ht="16.5" customHeight="1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</row>
    <row r="718" ht="16.5" customHeight="1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</row>
    <row r="719" ht="16.5" customHeight="1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</row>
    <row r="720" ht="16.5" customHeight="1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</row>
    <row r="721" ht="16.5" customHeight="1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</row>
    <row r="722" ht="16.5" customHeight="1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</row>
    <row r="723" ht="16.5" customHeight="1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</row>
    <row r="724" ht="16.5" customHeight="1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</row>
    <row r="725" ht="16.5" customHeight="1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</row>
    <row r="726" ht="16.5" customHeight="1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</row>
    <row r="727" ht="16.5" customHeight="1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</row>
    <row r="728" ht="16.5" customHeight="1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</row>
    <row r="729" ht="16.5" customHeight="1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</row>
    <row r="730" ht="16.5" customHeight="1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</row>
    <row r="731" ht="16.5" customHeight="1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</row>
    <row r="732" ht="16.5" customHeight="1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</row>
    <row r="733" ht="16.5" customHeight="1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</row>
    <row r="734" ht="16.5" customHeight="1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</row>
    <row r="735" ht="16.5" customHeight="1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</row>
    <row r="736" ht="16.5" customHeight="1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</row>
    <row r="737" ht="16.5" customHeight="1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</row>
    <row r="738" ht="16.5" customHeight="1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</row>
    <row r="739" ht="16.5" customHeight="1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</row>
    <row r="740" ht="16.5" customHeight="1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</row>
    <row r="741" ht="16.5" customHeight="1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</row>
    <row r="742" ht="16.5" customHeight="1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</row>
    <row r="743" ht="16.5" customHeight="1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</row>
    <row r="744" ht="16.5" customHeight="1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</row>
    <row r="745" ht="16.5" customHeight="1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</row>
    <row r="746" ht="16.5" customHeight="1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</row>
    <row r="747" ht="16.5" customHeight="1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</row>
    <row r="748" ht="16.5" customHeight="1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</row>
    <row r="749" ht="16.5" customHeight="1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</row>
    <row r="750" ht="16.5" customHeight="1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</row>
    <row r="751" ht="16.5" customHeight="1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</row>
    <row r="752" ht="16.5" customHeight="1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</row>
    <row r="753" ht="16.5" customHeight="1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</row>
    <row r="754" ht="16.5" customHeight="1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</row>
    <row r="755" ht="16.5" customHeight="1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</row>
    <row r="756" ht="16.5" customHeight="1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</row>
    <row r="757" ht="16.5" customHeight="1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</row>
    <row r="758" ht="16.5" customHeight="1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</row>
    <row r="759" ht="16.5" customHeight="1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</row>
    <row r="760" ht="16.5" customHeight="1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</row>
    <row r="761" ht="16.5" customHeight="1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</row>
    <row r="762" ht="16.5" customHeight="1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</row>
    <row r="763" ht="16.5" customHeight="1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</row>
    <row r="764" ht="16.5" customHeight="1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</row>
    <row r="765" ht="16.5" customHeight="1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</row>
    <row r="766" ht="16.5" customHeight="1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</row>
    <row r="767" ht="16.5" customHeight="1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</row>
    <row r="768" ht="16.5" customHeight="1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</row>
    <row r="769" ht="16.5" customHeight="1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</row>
    <row r="770" ht="16.5" customHeight="1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</row>
    <row r="771" ht="16.5" customHeight="1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</row>
    <row r="772" ht="16.5" customHeight="1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</row>
    <row r="773" ht="16.5" customHeight="1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</row>
    <row r="774" ht="16.5" customHeight="1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</row>
    <row r="775" ht="16.5" customHeight="1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</row>
    <row r="776" ht="16.5" customHeight="1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</row>
    <row r="777" ht="16.5" customHeight="1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</row>
    <row r="778" ht="16.5" customHeight="1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</row>
    <row r="779" ht="16.5" customHeight="1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</row>
    <row r="780" ht="16.5" customHeight="1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</row>
    <row r="781" ht="16.5" customHeight="1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</row>
    <row r="782" ht="16.5" customHeight="1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</row>
    <row r="783" ht="16.5" customHeight="1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</row>
    <row r="784" ht="16.5" customHeight="1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</row>
    <row r="785" ht="16.5" customHeight="1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</row>
    <row r="786" ht="16.5" customHeight="1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</row>
    <row r="787" ht="16.5" customHeight="1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</row>
    <row r="788" ht="16.5" customHeight="1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</row>
    <row r="789" ht="16.5" customHeight="1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</row>
    <row r="790" ht="16.5" customHeight="1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</row>
    <row r="791" ht="16.5" customHeight="1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</row>
    <row r="792" ht="16.5" customHeight="1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</row>
    <row r="793" ht="16.5" customHeight="1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</row>
    <row r="794" ht="16.5" customHeight="1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</row>
    <row r="795" ht="16.5" customHeight="1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</row>
    <row r="796" ht="16.5" customHeight="1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</row>
    <row r="797" ht="16.5" customHeight="1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</row>
    <row r="798" ht="16.5" customHeight="1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</row>
    <row r="799" ht="16.5" customHeight="1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</row>
    <row r="800" ht="16.5" customHeight="1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</row>
    <row r="801" ht="16.5" customHeight="1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</row>
    <row r="802" ht="16.5" customHeight="1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</row>
    <row r="803" ht="16.5" customHeight="1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</row>
    <row r="804" ht="16.5" customHeight="1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</row>
    <row r="805" ht="16.5" customHeight="1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</row>
    <row r="806" ht="16.5" customHeight="1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</row>
    <row r="807" ht="16.5" customHeight="1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</row>
    <row r="808" ht="16.5" customHeight="1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</row>
    <row r="809" ht="16.5" customHeight="1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</row>
    <row r="810" ht="16.5" customHeight="1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</row>
    <row r="811" ht="16.5" customHeight="1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</row>
    <row r="812" ht="16.5" customHeight="1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</row>
    <row r="813" ht="16.5" customHeight="1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</row>
    <row r="814" ht="16.5" customHeight="1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</row>
    <row r="815" ht="16.5" customHeight="1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</row>
    <row r="816" ht="16.5" customHeight="1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</row>
    <row r="817" ht="16.5" customHeight="1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</row>
    <row r="818" ht="16.5" customHeight="1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</row>
    <row r="819" ht="16.5" customHeight="1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</row>
    <row r="820" ht="16.5" customHeight="1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</row>
    <row r="821" ht="16.5" customHeight="1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</row>
    <row r="822" ht="16.5" customHeight="1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</row>
    <row r="823" ht="16.5" customHeight="1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</row>
    <row r="824" ht="16.5" customHeight="1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</row>
    <row r="825" ht="16.5" customHeight="1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</row>
    <row r="826" ht="16.5" customHeight="1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</row>
    <row r="827" ht="16.5" customHeight="1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</row>
    <row r="828" ht="16.5" customHeight="1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</row>
    <row r="829" ht="16.5" customHeight="1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</row>
    <row r="830" ht="16.5" customHeight="1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</row>
    <row r="831" ht="16.5" customHeight="1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</row>
    <row r="832" ht="16.5" customHeight="1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</row>
    <row r="833" ht="16.5" customHeight="1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</row>
    <row r="834" ht="16.5" customHeight="1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</row>
    <row r="835" ht="16.5" customHeight="1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</row>
    <row r="836" ht="16.5" customHeight="1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</row>
    <row r="837" ht="16.5" customHeight="1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</row>
    <row r="838" ht="16.5" customHeight="1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</row>
    <row r="839" ht="16.5" customHeight="1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</row>
    <row r="840" ht="16.5" customHeight="1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</row>
    <row r="841" ht="16.5" customHeight="1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</row>
    <row r="842" ht="16.5" customHeight="1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</row>
    <row r="843" ht="16.5" customHeight="1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</row>
    <row r="844" ht="16.5" customHeight="1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</row>
    <row r="845" ht="16.5" customHeight="1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</row>
    <row r="846" ht="16.5" customHeight="1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</row>
    <row r="847" ht="16.5" customHeight="1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</row>
    <row r="848" ht="16.5" customHeight="1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</row>
    <row r="849" ht="16.5" customHeight="1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</row>
    <row r="850" ht="16.5" customHeight="1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</row>
    <row r="851" ht="16.5" customHeight="1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</row>
    <row r="852" ht="16.5" customHeight="1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</row>
    <row r="853" ht="16.5" customHeight="1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</row>
    <row r="854" ht="16.5" customHeight="1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</row>
    <row r="855" ht="16.5" customHeight="1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</row>
    <row r="856" ht="16.5" customHeight="1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</row>
    <row r="857" ht="16.5" customHeight="1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</row>
    <row r="858" ht="16.5" customHeight="1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</row>
    <row r="859" ht="16.5" customHeight="1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</row>
    <row r="860" ht="16.5" customHeight="1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</row>
    <row r="861" ht="16.5" customHeight="1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</row>
    <row r="862" ht="16.5" customHeight="1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</row>
    <row r="863" ht="16.5" customHeight="1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</row>
    <row r="864" ht="16.5" customHeight="1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</row>
    <row r="865" ht="16.5" customHeight="1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</row>
    <row r="866" ht="16.5" customHeight="1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</row>
    <row r="867" ht="16.5" customHeight="1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</row>
    <row r="868" ht="16.5" customHeight="1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</row>
    <row r="869" ht="16.5" customHeight="1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</row>
    <row r="870" ht="16.5" customHeight="1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</row>
    <row r="871" ht="16.5" customHeight="1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</row>
    <row r="872" ht="16.5" customHeight="1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</row>
    <row r="873" ht="16.5" customHeight="1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</row>
    <row r="874" ht="16.5" customHeight="1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</row>
    <row r="875" ht="16.5" customHeight="1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</row>
    <row r="876" ht="16.5" customHeight="1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</row>
    <row r="877" ht="16.5" customHeight="1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</row>
    <row r="878" ht="16.5" customHeight="1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</row>
    <row r="879" ht="16.5" customHeight="1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</row>
    <row r="880" ht="16.5" customHeight="1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</row>
    <row r="881" ht="16.5" customHeight="1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</row>
    <row r="882" ht="16.5" customHeight="1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</row>
    <row r="883" ht="16.5" customHeight="1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</row>
    <row r="884" ht="16.5" customHeight="1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</row>
    <row r="885" ht="16.5" customHeight="1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</row>
    <row r="886" ht="16.5" customHeight="1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</row>
    <row r="887" ht="16.5" customHeight="1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</row>
    <row r="888" ht="16.5" customHeight="1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</row>
    <row r="889" ht="16.5" customHeight="1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</row>
    <row r="890" ht="16.5" customHeight="1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</row>
    <row r="891" ht="16.5" customHeight="1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</row>
    <row r="892" ht="16.5" customHeight="1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</row>
    <row r="893" ht="16.5" customHeight="1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</row>
    <row r="894" ht="16.5" customHeight="1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</row>
    <row r="895" ht="16.5" customHeight="1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</row>
    <row r="896" ht="16.5" customHeight="1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</row>
    <row r="897" ht="16.5" customHeight="1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</row>
    <row r="898" ht="16.5" customHeight="1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</row>
    <row r="899" ht="16.5" customHeight="1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</row>
    <row r="900" ht="16.5" customHeight="1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</row>
    <row r="901" ht="16.5" customHeight="1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</row>
    <row r="902" ht="16.5" customHeight="1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</row>
    <row r="903" ht="16.5" customHeight="1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</row>
    <row r="904" ht="16.5" customHeight="1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</row>
    <row r="905" ht="16.5" customHeight="1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</row>
    <row r="906" ht="16.5" customHeight="1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</row>
    <row r="907" ht="16.5" customHeight="1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</row>
    <row r="908" ht="16.5" customHeight="1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</row>
    <row r="909" ht="16.5" customHeight="1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</row>
    <row r="910" ht="16.5" customHeight="1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</row>
    <row r="911" ht="16.5" customHeight="1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</row>
    <row r="912" ht="16.5" customHeight="1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</row>
    <row r="913" ht="16.5" customHeight="1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</row>
    <row r="914" ht="16.5" customHeight="1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</row>
    <row r="915" ht="16.5" customHeight="1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</row>
    <row r="916" ht="16.5" customHeight="1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</row>
    <row r="917" ht="16.5" customHeight="1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</row>
    <row r="918" ht="16.5" customHeight="1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</row>
    <row r="919" ht="16.5" customHeight="1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</row>
    <row r="920" ht="16.5" customHeight="1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</row>
    <row r="921" ht="16.5" customHeight="1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</row>
    <row r="922" ht="16.5" customHeight="1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</row>
    <row r="923" ht="16.5" customHeight="1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</row>
    <row r="924" ht="16.5" customHeight="1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</row>
    <row r="925" ht="16.5" customHeight="1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</row>
    <row r="926" ht="16.5" customHeight="1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</row>
    <row r="927" ht="16.5" customHeight="1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</row>
    <row r="928" ht="16.5" customHeight="1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</row>
    <row r="929" ht="16.5" customHeight="1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</row>
    <row r="930" ht="16.5" customHeight="1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</row>
    <row r="931" ht="16.5" customHeight="1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</row>
    <row r="932" ht="16.5" customHeight="1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</row>
    <row r="933" ht="16.5" customHeight="1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</row>
    <row r="934" ht="16.5" customHeight="1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</row>
    <row r="935" ht="16.5" customHeight="1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</row>
    <row r="936" ht="16.5" customHeight="1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</row>
    <row r="937" ht="16.5" customHeight="1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</row>
    <row r="938" ht="16.5" customHeight="1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</row>
    <row r="939" ht="16.5" customHeight="1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</row>
    <row r="940" ht="16.5" customHeight="1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</row>
    <row r="941" ht="16.5" customHeight="1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</row>
    <row r="942" ht="16.5" customHeight="1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</row>
    <row r="943" ht="16.5" customHeight="1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</row>
    <row r="944" ht="16.5" customHeight="1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</row>
    <row r="945" ht="16.5" customHeight="1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</row>
    <row r="946" ht="16.5" customHeight="1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</row>
    <row r="947" ht="16.5" customHeight="1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</row>
    <row r="948" ht="16.5" customHeight="1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</row>
    <row r="949" ht="16.5" customHeight="1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</row>
    <row r="950" ht="16.5" customHeight="1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</row>
    <row r="951" ht="16.5" customHeight="1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</row>
    <row r="952" ht="16.5" customHeight="1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</row>
    <row r="953" ht="16.5" customHeight="1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</row>
    <row r="954" ht="16.5" customHeight="1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</row>
    <row r="955" ht="16.5" customHeight="1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</row>
    <row r="956" ht="16.5" customHeight="1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</row>
    <row r="957" ht="16.5" customHeight="1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</row>
    <row r="958" ht="16.5" customHeight="1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</row>
    <row r="959" ht="16.5" customHeight="1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</row>
    <row r="960" ht="16.5" customHeight="1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</row>
    <row r="961" ht="16.5" customHeight="1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</row>
    <row r="962" ht="16.5" customHeight="1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</row>
    <row r="963" ht="16.5" customHeight="1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</row>
    <row r="964" ht="16.5" customHeight="1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</row>
    <row r="965" ht="16.5" customHeight="1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</row>
    <row r="966" ht="16.5" customHeight="1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</row>
    <row r="967" ht="16.5" customHeight="1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</row>
    <row r="968" ht="16.5" customHeight="1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</row>
    <row r="969" ht="16.5" customHeight="1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</row>
    <row r="970" ht="16.5" customHeight="1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</row>
    <row r="971" ht="16.5" customHeight="1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</row>
    <row r="972" ht="16.5" customHeight="1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</row>
    <row r="973" ht="16.5" customHeight="1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</row>
    <row r="974" ht="16.5" customHeight="1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</row>
    <row r="975" ht="16.5" customHeight="1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</row>
    <row r="976" ht="16.5" customHeight="1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</row>
    <row r="977" ht="16.5" customHeight="1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</row>
    <row r="978" ht="16.5" customHeight="1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</row>
    <row r="979" ht="16.5" customHeight="1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</row>
    <row r="980" ht="16.5" customHeight="1">
      <c r="A980" s="113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</row>
    <row r="981" ht="16.5" customHeight="1">
      <c r="A981" s="113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</row>
    <row r="982" ht="16.5" customHeight="1">
      <c r="A982" s="113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</row>
    <row r="983" ht="16.5" customHeight="1">
      <c r="A983" s="113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</row>
    <row r="984" ht="16.5" customHeight="1">
      <c r="A984" s="113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</row>
    <row r="985" ht="16.5" customHeight="1">
      <c r="A985" s="113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</row>
    <row r="986" ht="16.5" customHeight="1">
      <c r="A986" s="113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</row>
    <row r="987" ht="16.5" customHeight="1">
      <c r="A987" s="113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</row>
    <row r="988" ht="16.5" customHeight="1">
      <c r="A988" s="113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</row>
    <row r="989" ht="16.5" customHeight="1">
      <c r="A989" s="113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</row>
    <row r="990" ht="16.5" customHeight="1">
      <c r="A990" s="113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</row>
    <row r="991" ht="16.5" customHeight="1">
      <c r="A991" s="113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</row>
    <row r="992" ht="16.5" customHeight="1">
      <c r="A992" s="113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</row>
    <row r="993" ht="16.5" customHeight="1">
      <c r="A993" s="113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</row>
    <row r="994" ht="16.5" customHeight="1">
      <c r="A994" s="113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</row>
    <row r="995" ht="16.5" customHeight="1">
      <c r="A995" s="113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</row>
    <row r="996" ht="16.5" customHeight="1">
      <c r="A996" s="113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</row>
    <row r="997" ht="16.5" customHeight="1">
      <c r="A997" s="113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</row>
    <row r="998" ht="16.5" customHeight="1">
      <c r="A998" s="113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</row>
    <row r="999" ht="16.5" customHeight="1">
      <c r="A999" s="113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</row>
    <row r="1000" ht="16.5" customHeight="1">
      <c r="A1000" s="113"/>
      <c r="B1000" s="113"/>
      <c r="C1000" s="113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</row>
  </sheetData>
  <mergeCells count="4">
    <mergeCell ref="A1:C1"/>
    <mergeCell ref="A4:A5"/>
    <mergeCell ref="B4:B5"/>
    <mergeCell ref="C4:C5"/>
  </mergeCells>
  <printOptions horizontalCentered="1" verticalCentered="1"/>
  <pageMargins bottom="0.7480314960629921" footer="0.0" header="0.0" left="0.3937007874015748" right="0.3937007874015748" top="0.7480314960629921"/>
  <pageSetup paperSize="9" scale="182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FF"/>
    <pageSetUpPr fitToPage="1"/>
  </sheetPr>
  <sheetViews>
    <sheetView workbookViewId="0"/>
  </sheetViews>
  <sheetFormatPr customHeight="1" defaultColWidth="11.22" defaultRowHeight="15.0"/>
  <cols>
    <col customWidth="1" min="1" max="1" width="8.11"/>
    <col customWidth="1" min="2" max="2" width="40.11"/>
    <col customWidth="1" min="3" max="3" width="36.89"/>
    <col customWidth="1" min="4" max="4" width="11.67"/>
    <col customWidth="1" min="5" max="5" width="21.89"/>
    <col customWidth="1" min="6" max="26" width="7.0"/>
  </cols>
  <sheetData>
    <row r="1" ht="20.25" customHeight="1">
      <c r="A1" s="122" t="s">
        <v>274</v>
      </c>
      <c r="B1" s="122"/>
      <c r="C1" s="122"/>
      <c r="D1" s="123"/>
      <c r="E1" s="122"/>
      <c r="F1" s="122"/>
      <c r="G1" s="122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ht="20.25" customHeight="1">
      <c r="A2" s="123" t="s">
        <v>275</v>
      </c>
      <c r="B2" s="123"/>
      <c r="C2" s="123"/>
      <c r="D2" s="123"/>
      <c r="E2" s="123"/>
      <c r="F2" s="123"/>
      <c r="G2" s="123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</row>
    <row r="3" ht="20.25" customHeight="1">
      <c r="A3" s="123" t="s">
        <v>276</v>
      </c>
      <c r="B3" s="123"/>
      <c r="C3" s="123"/>
      <c r="D3" s="125" t="s">
        <v>277</v>
      </c>
      <c r="E3" s="126" t="s">
        <v>278</v>
      </c>
      <c r="F3" s="123"/>
      <c r="G3" s="123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</row>
    <row r="4" ht="65.25" customHeight="1">
      <c r="A4" s="127" t="s">
        <v>279</v>
      </c>
      <c r="B4" s="128"/>
      <c r="C4" s="128"/>
      <c r="D4" s="128"/>
      <c r="E4" s="129"/>
      <c r="F4" s="130"/>
      <c r="G4" s="130"/>
      <c r="H4" s="130"/>
      <c r="I4" s="131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</row>
    <row r="5">
      <c r="A5" s="131" t="s">
        <v>280</v>
      </c>
      <c r="B5" s="132" t="s">
        <v>156</v>
      </c>
      <c r="C5" s="133"/>
      <c r="D5" s="132"/>
      <c r="E5" s="132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</row>
    <row r="6">
      <c r="A6" s="133" t="s">
        <v>281</v>
      </c>
      <c r="B6" s="135">
        <v>4.507489384E9</v>
      </c>
      <c r="C6" s="134"/>
      <c r="D6" s="136" t="s">
        <v>282</v>
      </c>
      <c r="E6" s="137">
        <v>46212.0</v>
      </c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</row>
    <row r="7" ht="24.75" customHeight="1">
      <c r="A7" s="138" t="s">
        <v>283</v>
      </c>
      <c r="B7" s="138" t="s">
        <v>284</v>
      </c>
      <c r="C7" s="138" t="s">
        <v>285</v>
      </c>
      <c r="D7" s="138" t="s">
        <v>286</v>
      </c>
      <c r="E7" s="138" t="s">
        <v>287</v>
      </c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>
      <c r="A8" s="139">
        <v>1.0</v>
      </c>
      <c r="B8" s="140" t="s">
        <v>288</v>
      </c>
      <c r="C8" s="140"/>
      <c r="D8" s="139"/>
      <c r="E8" s="141" t="s">
        <v>289</v>
      </c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>
      <c r="A9" s="139"/>
      <c r="B9" s="140" t="s">
        <v>290</v>
      </c>
      <c r="C9" s="140"/>
      <c r="D9" s="139"/>
      <c r="E9" s="141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</row>
    <row r="10">
      <c r="A10" s="139"/>
      <c r="B10" s="140"/>
      <c r="C10" s="140"/>
      <c r="D10" s="139"/>
      <c r="E10" s="141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</row>
    <row r="11">
      <c r="A11" s="139"/>
      <c r="B11" s="140"/>
      <c r="C11" s="140"/>
      <c r="D11" s="139"/>
      <c r="E11" s="141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</row>
    <row r="12">
      <c r="A12" s="139"/>
      <c r="B12" s="142"/>
      <c r="C12" s="134"/>
      <c r="D12" s="139"/>
      <c r="E12" s="141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</row>
    <row r="13">
      <c r="A13" s="139"/>
      <c r="B13" s="143" t="s">
        <v>291</v>
      </c>
      <c r="C13" s="140"/>
      <c r="D13" s="141"/>
      <c r="E13" s="141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</row>
    <row r="14">
      <c r="A14" s="139"/>
      <c r="B14" s="143"/>
      <c r="C14" s="140"/>
      <c r="D14" s="141"/>
      <c r="E14" s="141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</row>
    <row r="15">
      <c r="A15" s="141"/>
      <c r="B15" s="143"/>
      <c r="C15" s="140"/>
      <c r="D15" s="141"/>
      <c r="E15" s="141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</row>
    <row r="16">
      <c r="A16" s="141"/>
      <c r="B16" s="143"/>
      <c r="C16" s="140"/>
      <c r="D16" s="141"/>
      <c r="E16" s="141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</row>
    <row r="17">
      <c r="A17" s="141"/>
      <c r="B17" s="143"/>
      <c r="C17" s="140"/>
      <c r="D17" s="141"/>
      <c r="E17" s="141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</row>
    <row r="18">
      <c r="A18" s="141"/>
      <c r="B18" s="143"/>
      <c r="C18" s="140"/>
      <c r="D18" s="141"/>
      <c r="E18" s="141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</row>
    <row r="19">
      <c r="A19" s="141"/>
      <c r="B19" s="140"/>
      <c r="C19" s="140"/>
      <c r="D19" s="141"/>
      <c r="E19" s="141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</row>
    <row r="20">
      <c r="A20" s="141"/>
      <c r="B20" s="143"/>
      <c r="C20" s="140"/>
      <c r="D20" s="141"/>
      <c r="E20" s="141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</row>
    <row r="21">
      <c r="A21" s="141"/>
      <c r="B21" s="143"/>
      <c r="C21" s="140"/>
      <c r="D21" s="141"/>
      <c r="E21" s="141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</row>
    <row r="22">
      <c r="A22" s="141"/>
      <c r="B22" s="143"/>
      <c r="C22" s="140"/>
      <c r="D22" s="141"/>
      <c r="E22" s="141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</row>
    <row r="23">
      <c r="A23" s="141"/>
      <c r="B23" s="143"/>
      <c r="C23" s="140"/>
      <c r="D23" s="141"/>
      <c r="E23" s="141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</row>
    <row r="24">
      <c r="A24" s="141"/>
      <c r="B24" s="143"/>
      <c r="C24" s="140"/>
      <c r="D24" s="141"/>
      <c r="E24" s="141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</row>
    <row r="25">
      <c r="A25" s="141"/>
      <c r="B25" s="143"/>
      <c r="C25" s="140"/>
      <c r="D25" s="141"/>
      <c r="E25" s="141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</row>
    <row r="26">
      <c r="A26" s="141"/>
      <c r="B26" s="143"/>
      <c r="C26" s="140"/>
      <c r="D26" s="141"/>
      <c r="E26" s="141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</row>
    <row r="27">
      <c r="A27" s="141"/>
      <c r="B27" s="143"/>
      <c r="C27" s="140"/>
      <c r="D27" s="141"/>
      <c r="E27" s="141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</row>
    <row r="28" ht="21.0" customHeight="1">
      <c r="A28" s="145" t="s">
        <v>292</v>
      </c>
      <c r="B28" s="146"/>
      <c r="C28" s="146"/>
      <c r="D28" s="146"/>
      <c r="E28" s="147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</row>
    <row r="29" ht="21.0" customHeight="1">
      <c r="A29" s="149" t="s">
        <v>293</v>
      </c>
      <c r="B29" s="148"/>
      <c r="C29" s="148"/>
      <c r="D29" s="148"/>
      <c r="E29" s="150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</row>
    <row r="30" ht="18.0" customHeight="1">
      <c r="A30" s="151" t="s">
        <v>294</v>
      </c>
      <c r="B30" s="152"/>
      <c r="C30" s="148"/>
      <c r="D30" s="148"/>
      <c r="E30" s="150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</row>
    <row r="31" ht="21.0" customHeight="1">
      <c r="A31" s="151"/>
      <c r="B31" s="152"/>
      <c r="C31" s="148"/>
      <c r="D31" s="148"/>
      <c r="E31" s="150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</row>
    <row r="32" ht="21.0" customHeight="1">
      <c r="A32" s="153"/>
      <c r="B32" s="148"/>
      <c r="C32" s="148"/>
      <c r="D32" s="148"/>
      <c r="E32" s="150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</row>
    <row r="33" ht="21.0" customHeight="1">
      <c r="A33" s="149"/>
      <c r="B33" s="148"/>
      <c r="C33" s="148"/>
      <c r="D33" s="148"/>
      <c r="E33" s="150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</row>
    <row r="34" ht="21.0" customHeight="1">
      <c r="A34" s="149"/>
      <c r="B34" s="148"/>
      <c r="C34" s="148"/>
      <c r="D34" s="148"/>
      <c r="E34" s="150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</row>
    <row r="35" ht="21.0" customHeight="1">
      <c r="A35" s="149"/>
      <c r="B35" s="148"/>
      <c r="C35" s="148"/>
      <c r="D35" s="148"/>
      <c r="E35" s="150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</row>
    <row r="36" ht="21.0" customHeight="1">
      <c r="A36" s="154"/>
      <c r="B36" s="155"/>
      <c r="C36" s="155"/>
      <c r="D36" s="155"/>
      <c r="E36" s="156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</row>
    <row r="37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</row>
    <row r="38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</row>
    <row r="39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</row>
    <row r="40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</row>
    <row r="41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</row>
    <row r="42">
      <c r="A42" s="124"/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</row>
    <row r="43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</row>
    <row r="44">
      <c r="A44" s="124"/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</row>
    <row r="45">
      <c r="A45" s="124"/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</row>
    <row r="46">
      <c r="A46" s="124"/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</row>
    <row r="47">
      <c r="A47" s="124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</row>
    <row r="48">
      <c r="A48" s="124"/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</row>
    <row r="49">
      <c r="A49" s="124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</row>
    <row r="50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</row>
    <row r="51">
      <c r="A51" s="124"/>
      <c r="B51" s="124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</row>
    <row r="52">
      <c r="A52" s="124"/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>
      <c r="A53" s="124"/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</row>
    <row r="54">
      <c r="A54" s="124"/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</row>
    <row r="55">
      <c r="A55" s="124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</row>
    <row r="56">
      <c r="A56" s="124"/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</row>
    <row r="57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</row>
    <row r="58">
      <c r="A58" s="124"/>
      <c r="B58" s="124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</row>
    <row r="59">
      <c r="A59" s="124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</row>
    <row r="60">
      <c r="A60" s="124"/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</row>
    <row r="61">
      <c r="A61" s="124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</row>
    <row r="62">
      <c r="A62" s="124"/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</row>
    <row r="63">
      <c r="A63" s="124"/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</row>
    <row r="64">
      <c r="A64" s="124"/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</row>
    <row r="65">
      <c r="A65" s="124"/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</row>
    <row r="66">
      <c r="A66" s="124"/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</row>
    <row r="67">
      <c r="A67" s="124"/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</row>
    <row r="68">
      <c r="A68" s="124"/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</row>
    <row r="69">
      <c r="A69" s="124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</row>
    <row r="70">
      <c r="A70" s="124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</row>
    <row r="71">
      <c r="A71" s="124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</row>
    <row r="72">
      <c r="A72" s="124"/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</row>
    <row r="73">
      <c r="A73" s="124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</row>
    <row r="74">
      <c r="A74" s="124"/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</row>
    <row r="75">
      <c r="A75" s="124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</row>
    <row r="76">
      <c r="A76" s="124"/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</row>
    <row r="77">
      <c r="A77" s="124"/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</row>
    <row r="78">
      <c r="A78" s="124"/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</row>
    <row r="79">
      <c r="A79" s="124"/>
      <c r="B79" s="124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</row>
    <row r="80">
      <c r="A80" s="12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</row>
    <row r="81">
      <c r="A81" s="124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</row>
    <row r="82">
      <c r="A82" s="124"/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</row>
    <row r="83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</row>
    <row r="84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</row>
    <row r="85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</row>
    <row r="86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</row>
    <row r="87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</row>
    <row r="88">
      <c r="A88" s="124"/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</row>
    <row r="89">
      <c r="A89" s="124"/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</row>
    <row r="90">
      <c r="A90" s="124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</row>
    <row r="91">
      <c r="A91" s="124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</row>
    <row r="92">
      <c r="A92" s="124"/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</row>
    <row r="93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</row>
    <row r="94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</row>
    <row r="95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</row>
    <row r="96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</row>
    <row r="97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</row>
    <row r="98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</row>
    <row r="99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</row>
    <row r="100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</row>
    <row r="101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</row>
    <row r="102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</row>
    <row r="103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</row>
    <row r="104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</row>
    <row r="105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</row>
    <row r="106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</row>
    <row r="107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</row>
    <row r="108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</row>
    <row r="109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</row>
    <row r="110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</row>
    <row r="111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</row>
    <row r="112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</row>
    <row r="113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</row>
    <row r="114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</row>
    <row r="115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</row>
    <row r="116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</row>
    <row r="117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</row>
    <row r="118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</row>
    <row r="119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</row>
    <row r="120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</row>
    <row r="121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</row>
    <row r="122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</row>
    <row r="123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</row>
    <row r="124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</row>
    <row r="125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</row>
    <row r="126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</row>
    <row r="127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</row>
    <row r="128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</row>
    <row r="129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</row>
    <row r="130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</row>
    <row r="131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</row>
    <row r="132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</row>
    <row r="133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</row>
    <row r="134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</row>
    <row r="135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</row>
    <row r="136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</row>
    <row r="137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</row>
    <row r="138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</row>
    <row r="139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</row>
    <row r="140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</row>
    <row r="141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</row>
    <row r="142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</row>
    <row r="143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</row>
    <row r="144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</row>
    <row r="145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</row>
    <row r="146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</row>
    <row r="147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</row>
    <row r="148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</row>
    <row r="149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</row>
    <row r="150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</row>
    <row r="151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</row>
    <row r="152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</row>
    <row r="153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</row>
    <row r="154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</row>
    <row r="155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</row>
    <row r="156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</row>
    <row r="157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</row>
    <row r="158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</row>
    <row r="159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</row>
    <row r="160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</row>
    <row r="161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</row>
    <row r="162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</row>
    <row r="163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</row>
    <row r="164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</row>
    <row r="165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</row>
    <row r="166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</row>
    <row r="167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</row>
    <row r="168">
      <c r="A168" s="124"/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</row>
    <row r="169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</row>
    <row r="170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</row>
    <row r="171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</row>
    <row r="172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</row>
    <row r="173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</row>
    <row r="174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</row>
    <row r="175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</row>
    <row r="176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</row>
    <row r="177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</row>
    <row r="178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</row>
    <row r="179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</row>
    <row r="180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</row>
    <row r="181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</row>
    <row r="182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</row>
    <row r="183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</row>
    <row r="184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</row>
    <row r="185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</row>
    <row r="186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</row>
    <row r="187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</row>
    <row r="188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</row>
    <row r="189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</row>
    <row r="190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</row>
    <row r="191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</row>
    <row r="192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</row>
    <row r="193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</row>
    <row r="194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</row>
    <row r="195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</row>
    <row r="196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</row>
    <row r="197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</row>
    <row r="198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</row>
    <row r="199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</row>
    <row r="200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</row>
    <row r="201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</row>
    <row r="202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</row>
    <row r="203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</row>
    <row r="204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</row>
    <row r="205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</row>
    <row r="206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</row>
    <row r="207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</row>
    <row r="208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</row>
    <row r="209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</row>
    <row r="210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</row>
    <row r="211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</row>
    <row r="212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</row>
    <row r="213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</row>
    <row r="214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</row>
    <row r="215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</row>
    <row r="216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</row>
    <row r="217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</row>
    <row r="218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</row>
    <row r="219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</row>
    <row r="220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</row>
    <row r="221">
      <c r="A221" s="124"/>
      <c r="B221" s="124"/>
      <c r="C221" s="124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</row>
    <row r="222">
      <c r="A222" s="124"/>
      <c r="B222" s="124"/>
      <c r="C222" s="124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</row>
    <row r="223">
      <c r="A223" s="124"/>
      <c r="B223" s="124"/>
      <c r="C223" s="124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</row>
    <row r="224">
      <c r="A224" s="124"/>
      <c r="B224" s="124"/>
      <c r="C224" s="124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</row>
    <row r="225">
      <c r="A225" s="124"/>
      <c r="B225" s="124"/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</row>
    <row r="226">
      <c r="A226" s="124"/>
      <c r="B226" s="124"/>
      <c r="C226" s="124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</row>
    <row r="227">
      <c r="A227" s="124"/>
      <c r="B227" s="124"/>
      <c r="C227" s="124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</row>
    <row r="228">
      <c r="A228" s="124"/>
      <c r="B228" s="124"/>
      <c r="C228" s="124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</row>
    <row r="229">
      <c r="A229" s="124"/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</row>
    <row r="230">
      <c r="A230" s="124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</row>
    <row r="231">
      <c r="A231" s="124"/>
      <c r="B231" s="124"/>
      <c r="C231" s="124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</row>
    <row r="232">
      <c r="A232" s="124"/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</row>
    <row r="233">
      <c r="A233" s="124"/>
      <c r="B233" s="124"/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</row>
    <row r="234">
      <c r="A234" s="124"/>
      <c r="B234" s="124"/>
      <c r="C234" s="124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</row>
    <row r="235">
      <c r="A235" s="124"/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</row>
    <row r="236">
      <c r="A236" s="124"/>
      <c r="B236" s="124"/>
      <c r="C236" s="124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</row>
    <row r="237">
      <c r="A237" s="124"/>
      <c r="B237" s="124"/>
      <c r="C237" s="124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</row>
    <row r="238">
      <c r="A238" s="124"/>
      <c r="B238" s="124"/>
      <c r="C238" s="124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</row>
    <row r="239">
      <c r="A239" s="124"/>
      <c r="B239" s="124"/>
      <c r="C239" s="124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</row>
    <row r="240">
      <c r="A240" s="124"/>
      <c r="B240" s="124"/>
      <c r="C240" s="124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</row>
    <row r="241">
      <c r="A241" s="124"/>
      <c r="B241" s="124"/>
      <c r="C241" s="124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</row>
    <row r="242">
      <c r="A242" s="124"/>
      <c r="B242" s="124"/>
      <c r="C242" s="124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</row>
    <row r="243">
      <c r="A243" s="124"/>
      <c r="B243" s="124"/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</row>
    <row r="244">
      <c r="A244" s="124"/>
      <c r="B244" s="124"/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</row>
    <row r="245">
      <c r="A245" s="124"/>
      <c r="B245" s="124"/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</row>
    <row r="246">
      <c r="A246" s="124"/>
      <c r="B246" s="124"/>
      <c r="C246" s="124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</row>
    <row r="247">
      <c r="A247" s="124"/>
      <c r="B247" s="124"/>
      <c r="C247" s="124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</row>
    <row r="248">
      <c r="A248" s="124"/>
      <c r="B248" s="124"/>
      <c r="C248" s="124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</row>
    <row r="249">
      <c r="A249" s="124"/>
      <c r="B249" s="124"/>
      <c r="C249" s="124"/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</row>
    <row r="250">
      <c r="A250" s="124"/>
      <c r="B250" s="124"/>
      <c r="C250" s="124"/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</row>
    <row r="251">
      <c r="A251" s="124"/>
      <c r="B251" s="124"/>
      <c r="C251" s="124"/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</row>
    <row r="252">
      <c r="A252" s="124"/>
      <c r="B252" s="124"/>
      <c r="C252" s="124"/>
      <c r="D252" s="124"/>
      <c r="E252" s="124"/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</row>
    <row r="253">
      <c r="A253" s="124"/>
      <c r="B253" s="124"/>
      <c r="C253" s="124"/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</row>
    <row r="254">
      <c r="A254" s="124"/>
      <c r="B254" s="124"/>
      <c r="C254" s="124"/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</row>
    <row r="255">
      <c r="A255" s="124"/>
      <c r="B255" s="124"/>
      <c r="C255" s="124"/>
      <c r="D255" s="124"/>
      <c r="E255" s="124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</row>
    <row r="256">
      <c r="A256" s="124"/>
      <c r="B256" s="124"/>
      <c r="C256" s="124"/>
      <c r="D256" s="124"/>
      <c r="E256" s="124"/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</row>
    <row r="257">
      <c r="A257" s="124"/>
      <c r="B257" s="124"/>
      <c r="C257" s="124"/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</row>
    <row r="258">
      <c r="A258" s="124"/>
      <c r="B258" s="124"/>
      <c r="C258" s="124"/>
      <c r="D258" s="124"/>
      <c r="E258" s="124"/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</row>
    <row r="259">
      <c r="A259" s="124"/>
      <c r="B259" s="124"/>
      <c r="C259" s="124"/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</row>
    <row r="260">
      <c r="A260" s="124"/>
      <c r="B260" s="124"/>
      <c r="C260" s="124"/>
      <c r="D260" s="124"/>
      <c r="E260" s="124"/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</row>
    <row r="261">
      <c r="A261" s="124"/>
      <c r="B261" s="124"/>
      <c r="C261" s="124"/>
      <c r="D261" s="124"/>
      <c r="E261" s="124"/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</row>
    <row r="262">
      <c r="A262" s="124"/>
      <c r="B262" s="124"/>
      <c r="C262" s="124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</row>
    <row r="263">
      <c r="A263" s="124"/>
      <c r="B263" s="124"/>
      <c r="C263" s="124"/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</row>
    <row r="264">
      <c r="A264" s="124"/>
      <c r="B264" s="124"/>
      <c r="C264" s="124"/>
      <c r="D264" s="124"/>
      <c r="E264" s="124"/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</row>
    <row r="265">
      <c r="A265" s="124"/>
      <c r="B265" s="124"/>
      <c r="C265" s="124"/>
      <c r="D265" s="124"/>
      <c r="E265" s="124"/>
      <c r="F265" s="124"/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</row>
    <row r="266">
      <c r="A266" s="124"/>
      <c r="B266" s="124"/>
      <c r="C266" s="124"/>
      <c r="D266" s="124"/>
      <c r="E266" s="124"/>
      <c r="F266" s="124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</row>
    <row r="267">
      <c r="A267" s="124"/>
      <c r="B267" s="124"/>
      <c r="C267" s="124"/>
      <c r="D267" s="124"/>
      <c r="E267" s="124"/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</row>
    <row r="268">
      <c r="A268" s="124"/>
      <c r="B268" s="124"/>
      <c r="C268" s="124"/>
      <c r="D268" s="124"/>
      <c r="E268" s="124"/>
      <c r="F268" s="124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</row>
    <row r="269">
      <c r="A269" s="124"/>
      <c r="B269" s="124"/>
      <c r="C269" s="124"/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</row>
    <row r="270">
      <c r="A270" s="124"/>
      <c r="B270" s="124"/>
      <c r="C270" s="124"/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</row>
    <row r="271">
      <c r="A271" s="124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</row>
    <row r="272">
      <c r="A272" s="124"/>
      <c r="B272" s="124"/>
      <c r="C272" s="124"/>
      <c r="D272" s="124"/>
      <c r="E272" s="124"/>
      <c r="F272" s="124"/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</row>
    <row r="273">
      <c r="A273" s="124"/>
      <c r="B273" s="124"/>
      <c r="C273" s="124"/>
      <c r="D273" s="124"/>
      <c r="E273" s="124"/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</row>
    <row r="274">
      <c r="A274" s="124"/>
      <c r="B274" s="124"/>
      <c r="C274" s="124"/>
      <c r="D274" s="124"/>
      <c r="E274" s="124"/>
      <c r="F274" s="124"/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</row>
    <row r="275">
      <c r="A275" s="124"/>
      <c r="B275" s="124"/>
      <c r="C275" s="124"/>
      <c r="D275" s="124"/>
      <c r="E275" s="124"/>
      <c r="F275" s="124"/>
      <c r="G275" s="124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</row>
    <row r="276">
      <c r="A276" s="124"/>
      <c r="B276" s="124"/>
      <c r="C276" s="124"/>
      <c r="D276" s="124"/>
      <c r="E276" s="124"/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</row>
    <row r="277">
      <c r="A277" s="124"/>
      <c r="B277" s="124"/>
      <c r="C277" s="124"/>
      <c r="D277" s="124"/>
      <c r="E277" s="124"/>
      <c r="F277" s="124"/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</row>
    <row r="278">
      <c r="A278" s="124"/>
      <c r="B278" s="124"/>
      <c r="C278" s="124"/>
      <c r="D278" s="124"/>
      <c r="E278" s="124"/>
      <c r="F278" s="124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</row>
    <row r="279">
      <c r="A279" s="124"/>
      <c r="B279" s="124"/>
      <c r="C279" s="124"/>
      <c r="D279" s="124"/>
      <c r="E279" s="12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</row>
    <row r="280">
      <c r="A280" s="124"/>
      <c r="B280" s="124"/>
      <c r="C280" s="124"/>
      <c r="D280" s="124"/>
      <c r="E280" s="124"/>
      <c r="F280" s="124"/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</row>
    <row r="281">
      <c r="A281" s="124"/>
      <c r="B281" s="124"/>
      <c r="C281" s="124"/>
      <c r="D281" s="124"/>
      <c r="E281" s="124"/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</row>
    <row r="282">
      <c r="A282" s="124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</row>
    <row r="283">
      <c r="A283" s="124"/>
      <c r="B283" s="124"/>
      <c r="C283" s="124"/>
      <c r="D283" s="124"/>
      <c r="E283" s="124"/>
      <c r="F283" s="124"/>
      <c r="G283" s="124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</row>
    <row r="284">
      <c r="A284" s="124"/>
      <c r="B284" s="124"/>
      <c r="C284" s="124"/>
      <c r="D284" s="124"/>
      <c r="E284" s="124"/>
      <c r="F284" s="124"/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</row>
    <row r="285">
      <c r="A285" s="124"/>
      <c r="B285" s="124"/>
      <c r="C285" s="124"/>
      <c r="D285" s="124"/>
      <c r="E285" s="124"/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</row>
    <row r="286">
      <c r="A286" s="124"/>
      <c r="B286" s="124"/>
      <c r="C286" s="124"/>
      <c r="D286" s="124"/>
      <c r="E286" s="124"/>
      <c r="F286" s="124"/>
      <c r="G286" s="124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</row>
    <row r="287">
      <c r="A287" s="124"/>
      <c r="B287" s="124"/>
      <c r="C287" s="124"/>
      <c r="D287" s="124"/>
      <c r="E287" s="124"/>
      <c r="F287" s="124"/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</row>
    <row r="288">
      <c r="A288" s="124"/>
      <c r="B288" s="124"/>
      <c r="C288" s="124"/>
      <c r="D288" s="124"/>
      <c r="E288" s="124"/>
      <c r="F288" s="124"/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</row>
    <row r="289">
      <c r="A289" s="124"/>
      <c r="B289" s="124"/>
      <c r="C289" s="124"/>
      <c r="D289" s="124"/>
      <c r="E289" s="124"/>
      <c r="F289" s="124"/>
      <c r="G289" s="124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</row>
    <row r="290">
      <c r="A290" s="124"/>
      <c r="B290" s="124"/>
      <c r="C290" s="124"/>
      <c r="D290" s="124"/>
      <c r="E290" s="124"/>
      <c r="F290" s="124"/>
      <c r="G290" s="124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</row>
    <row r="291">
      <c r="A291" s="124"/>
      <c r="B291" s="124"/>
      <c r="C291" s="124"/>
      <c r="D291" s="124"/>
      <c r="E291" s="124"/>
      <c r="F291" s="124"/>
      <c r="G291" s="124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</row>
    <row r="292">
      <c r="A292" s="124"/>
      <c r="B292" s="124"/>
      <c r="C292" s="124"/>
      <c r="D292" s="124"/>
      <c r="E292" s="124"/>
      <c r="F292" s="124"/>
      <c r="G292" s="124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</row>
    <row r="293">
      <c r="A293" s="124"/>
      <c r="B293" s="124"/>
      <c r="C293" s="124"/>
      <c r="D293" s="124"/>
      <c r="E293" s="124"/>
      <c r="F293" s="124"/>
      <c r="G293" s="124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</row>
    <row r="294">
      <c r="A294" s="124"/>
      <c r="B294" s="124"/>
      <c r="C294" s="124"/>
      <c r="D294" s="124"/>
      <c r="E294" s="124"/>
      <c r="F294" s="124"/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</row>
    <row r="295">
      <c r="A295" s="124"/>
      <c r="B295" s="124"/>
      <c r="C295" s="124"/>
      <c r="D295" s="124"/>
      <c r="E295" s="124"/>
      <c r="F295" s="124"/>
      <c r="G295" s="124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</row>
    <row r="296">
      <c r="A296" s="124"/>
      <c r="B296" s="124"/>
      <c r="C296" s="124"/>
      <c r="D296" s="124"/>
      <c r="E296" s="124"/>
      <c r="F296" s="124"/>
      <c r="G296" s="124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</row>
    <row r="297">
      <c r="A297" s="124"/>
      <c r="B297" s="124"/>
      <c r="C297" s="124"/>
      <c r="D297" s="124"/>
      <c r="E297" s="124"/>
      <c r="F297" s="124"/>
      <c r="G297" s="124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</row>
    <row r="298">
      <c r="A298" s="124"/>
      <c r="B298" s="124"/>
      <c r="C298" s="124"/>
      <c r="D298" s="124"/>
      <c r="E298" s="124"/>
      <c r="F298" s="124"/>
      <c r="G298" s="124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</row>
    <row r="299">
      <c r="A299" s="124"/>
      <c r="B299" s="124"/>
      <c r="C299" s="124"/>
      <c r="D299" s="124"/>
      <c r="E299" s="124"/>
      <c r="F299" s="124"/>
      <c r="G299" s="124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</row>
    <row r="300">
      <c r="A300" s="124"/>
      <c r="B300" s="124"/>
      <c r="C300" s="124"/>
      <c r="D300" s="124"/>
      <c r="E300" s="124"/>
      <c r="F300" s="124"/>
      <c r="G300" s="124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</row>
    <row r="301">
      <c r="A301" s="124"/>
      <c r="B301" s="124"/>
      <c r="C301" s="124"/>
      <c r="D301" s="124"/>
      <c r="E301" s="124"/>
      <c r="F301" s="124"/>
      <c r="G301" s="124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</row>
    <row r="302">
      <c r="A302" s="124"/>
      <c r="B302" s="124"/>
      <c r="C302" s="124"/>
      <c r="D302" s="124"/>
      <c r="E302" s="124"/>
      <c r="F302" s="124"/>
      <c r="G302" s="124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</row>
    <row r="303">
      <c r="A303" s="124"/>
      <c r="B303" s="124"/>
      <c r="C303" s="124"/>
      <c r="D303" s="124"/>
      <c r="E303" s="124"/>
      <c r="F303" s="124"/>
      <c r="G303" s="124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</row>
    <row r="304">
      <c r="A304" s="124"/>
      <c r="B304" s="124"/>
      <c r="C304" s="124"/>
      <c r="D304" s="124"/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</row>
    <row r="305">
      <c r="A305" s="124"/>
      <c r="B305" s="124"/>
      <c r="C305" s="124"/>
      <c r="D305" s="124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</row>
    <row r="306">
      <c r="A306" s="124"/>
      <c r="B306" s="124"/>
      <c r="C306" s="124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</row>
    <row r="307">
      <c r="A307" s="124"/>
      <c r="B307" s="124"/>
      <c r="C307" s="124"/>
      <c r="D307" s="124"/>
      <c r="E307" s="124"/>
      <c r="F307" s="124"/>
      <c r="G307" s="124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</row>
    <row r="308">
      <c r="A308" s="124"/>
      <c r="B308" s="124"/>
      <c r="C308" s="124"/>
      <c r="D308" s="124"/>
      <c r="E308" s="124"/>
      <c r="F308" s="124"/>
      <c r="G308" s="124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</row>
    <row r="309">
      <c r="A309" s="124"/>
      <c r="B309" s="124"/>
      <c r="C309" s="124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</row>
    <row r="310">
      <c r="A310" s="124"/>
      <c r="B310" s="124"/>
      <c r="C310" s="124"/>
      <c r="D310" s="124"/>
      <c r="E310" s="124"/>
      <c r="F310" s="124"/>
      <c r="G310" s="124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</row>
    <row r="311">
      <c r="A311" s="124"/>
      <c r="B311" s="124"/>
      <c r="C311" s="124"/>
      <c r="D311" s="124"/>
      <c r="E311" s="124"/>
      <c r="F311" s="124"/>
      <c r="G311" s="124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</row>
    <row r="312">
      <c r="A312" s="124"/>
      <c r="B312" s="124"/>
      <c r="C312" s="124"/>
      <c r="D312" s="124"/>
      <c r="E312" s="124"/>
      <c r="F312" s="124"/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</row>
    <row r="313">
      <c r="A313" s="124"/>
      <c r="B313" s="124"/>
      <c r="C313" s="124"/>
      <c r="D313" s="124"/>
      <c r="E313" s="124"/>
      <c r="F313" s="124"/>
      <c r="G313" s="124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</row>
    <row r="314">
      <c r="A314" s="124"/>
      <c r="B314" s="124"/>
      <c r="C314" s="124"/>
      <c r="D314" s="124"/>
      <c r="E314" s="124"/>
      <c r="F314" s="124"/>
      <c r="G314" s="124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</row>
    <row r="315">
      <c r="A315" s="124"/>
      <c r="B315" s="124"/>
      <c r="C315" s="124"/>
      <c r="D315" s="124"/>
      <c r="E315" s="124"/>
      <c r="F315" s="124"/>
      <c r="G315" s="124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</row>
    <row r="316">
      <c r="A316" s="124"/>
      <c r="B316" s="124"/>
      <c r="C316" s="124"/>
      <c r="D316" s="124"/>
      <c r="E316" s="124"/>
      <c r="F316" s="124"/>
      <c r="G316" s="124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</row>
    <row r="317">
      <c r="A317" s="124"/>
      <c r="B317" s="124"/>
      <c r="C317" s="124"/>
      <c r="D317" s="124"/>
      <c r="E317" s="124"/>
      <c r="F317" s="124"/>
      <c r="G317" s="124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</row>
    <row r="318">
      <c r="A318" s="124"/>
      <c r="B318" s="124"/>
      <c r="C318" s="124"/>
      <c r="D318" s="124"/>
      <c r="E318" s="124"/>
      <c r="F318" s="124"/>
      <c r="G318" s="124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</row>
    <row r="319">
      <c r="A319" s="124"/>
      <c r="B319" s="124"/>
      <c r="C319" s="124"/>
      <c r="D319" s="124"/>
      <c r="E319" s="124"/>
      <c r="F319" s="124"/>
      <c r="G319" s="124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</row>
    <row r="320">
      <c r="A320" s="124"/>
      <c r="B320" s="124"/>
      <c r="C320" s="124"/>
      <c r="D320" s="124"/>
      <c r="E320" s="124"/>
      <c r="F320" s="124"/>
      <c r="G320" s="124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</row>
    <row r="321">
      <c r="A321" s="124"/>
      <c r="B321" s="124"/>
      <c r="C321" s="124"/>
      <c r="D321" s="124"/>
      <c r="E321" s="124"/>
      <c r="F321" s="124"/>
      <c r="G321" s="124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</row>
    <row r="322">
      <c r="A322" s="124"/>
      <c r="B322" s="124"/>
      <c r="C322" s="124"/>
      <c r="D322" s="124"/>
      <c r="E322" s="124"/>
      <c r="F322" s="124"/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</row>
    <row r="323">
      <c r="A323" s="124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</row>
    <row r="324">
      <c r="A324" s="124"/>
      <c r="B324" s="124"/>
      <c r="C324" s="124"/>
      <c r="D324" s="124"/>
      <c r="E324" s="124"/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</row>
    <row r="325">
      <c r="A325" s="124"/>
      <c r="B325" s="124"/>
      <c r="C325" s="124"/>
      <c r="D325" s="124"/>
      <c r="E325" s="124"/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</row>
    <row r="326">
      <c r="A326" s="124"/>
      <c r="B326" s="124"/>
      <c r="C326" s="124"/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</row>
    <row r="327">
      <c r="A327" s="124"/>
      <c r="B327" s="124"/>
      <c r="C327" s="124"/>
      <c r="D327" s="124"/>
      <c r="E327" s="124"/>
      <c r="F327" s="124"/>
      <c r="G327" s="124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</row>
    <row r="328">
      <c r="A328" s="124"/>
      <c r="B328" s="124"/>
      <c r="C328" s="124"/>
      <c r="D328" s="124"/>
      <c r="E328" s="124"/>
      <c r="F328" s="124"/>
      <c r="G328" s="124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</row>
    <row r="329">
      <c r="A329" s="124"/>
      <c r="B329" s="124"/>
      <c r="C329" s="124"/>
      <c r="D329" s="124"/>
      <c r="E329" s="124"/>
      <c r="F329" s="124"/>
      <c r="G329" s="124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</row>
    <row r="330">
      <c r="A330" s="124"/>
      <c r="B330" s="124"/>
      <c r="C330" s="124"/>
      <c r="D330" s="124"/>
      <c r="E330" s="124"/>
      <c r="F330" s="124"/>
      <c r="G330" s="124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</row>
    <row r="331">
      <c r="A331" s="124"/>
      <c r="B331" s="124"/>
      <c r="C331" s="124"/>
      <c r="D331" s="124"/>
      <c r="E331" s="124"/>
      <c r="F331" s="124"/>
      <c r="G331" s="124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</row>
    <row r="332">
      <c r="A332" s="124"/>
      <c r="B332" s="124"/>
      <c r="C332" s="124"/>
      <c r="D332" s="124"/>
      <c r="E332" s="124"/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</row>
    <row r="333">
      <c r="A333" s="124"/>
      <c r="B333" s="124"/>
      <c r="C333" s="124"/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</row>
    <row r="334">
      <c r="A334" s="124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</row>
    <row r="335">
      <c r="A335" s="124"/>
      <c r="B335" s="124"/>
      <c r="C335" s="124"/>
      <c r="D335" s="124"/>
      <c r="E335" s="124"/>
      <c r="F335" s="124"/>
      <c r="G335" s="124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</row>
    <row r="336">
      <c r="A336" s="124"/>
      <c r="B336" s="124"/>
      <c r="C336" s="124"/>
      <c r="D336" s="124"/>
      <c r="E336" s="124"/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</row>
    <row r="337">
      <c r="A337" s="124"/>
      <c r="B337" s="124"/>
      <c r="C337" s="124"/>
      <c r="D337" s="124"/>
      <c r="E337" s="124"/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</row>
    <row r="338">
      <c r="A338" s="124"/>
      <c r="B338" s="124"/>
      <c r="C338" s="124"/>
      <c r="D338" s="124"/>
      <c r="E338" s="124"/>
      <c r="F338" s="124"/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</row>
    <row r="339">
      <c r="A339" s="124"/>
      <c r="B339" s="124"/>
      <c r="C339" s="124"/>
      <c r="D339" s="124"/>
      <c r="E339" s="124"/>
      <c r="F339" s="124"/>
      <c r="G339" s="124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</row>
    <row r="340">
      <c r="A340" s="124"/>
      <c r="B340" s="124"/>
      <c r="C340" s="124"/>
      <c r="D340" s="124"/>
      <c r="E340" s="124"/>
      <c r="F340" s="124"/>
      <c r="G340" s="124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</row>
    <row r="341">
      <c r="A341" s="124"/>
      <c r="B341" s="124"/>
      <c r="C341" s="124"/>
      <c r="D341" s="124"/>
      <c r="E341" s="124"/>
      <c r="F341" s="124"/>
      <c r="G341" s="124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</row>
    <row r="342">
      <c r="A342" s="124"/>
      <c r="B342" s="124"/>
      <c r="C342" s="124"/>
      <c r="D342" s="124"/>
      <c r="E342" s="124"/>
      <c r="F342" s="124"/>
      <c r="G342" s="124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</row>
    <row r="343">
      <c r="A343" s="124"/>
      <c r="B343" s="124"/>
      <c r="C343" s="124"/>
      <c r="D343" s="124"/>
      <c r="E343" s="124"/>
      <c r="F343" s="124"/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</row>
    <row r="344">
      <c r="A344" s="124"/>
      <c r="B344" s="124"/>
      <c r="C344" s="124"/>
      <c r="D344" s="124"/>
      <c r="E344" s="124"/>
      <c r="F344" s="124"/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</row>
    <row r="345">
      <c r="A345" s="124"/>
      <c r="B345" s="124"/>
      <c r="C345" s="124"/>
      <c r="D345" s="124"/>
      <c r="E345" s="124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</row>
    <row r="346">
      <c r="A346" s="124"/>
      <c r="B346" s="124"/>
      <c r="C346" s="124"/>
      <c r="D346" s="124"/>
      <c r="E346" s="124"/>
      <c r="F346" s="124"/>
      <c r="G346" s="124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</row>
    <row r="347">
      <c r="A347" s="124"/>
      <c r="B347" s="124"/>
      <c r="C347" s="124"/>
      <c r="D347" s="124"/>
      <c r="E347" s="124"/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</row>
    <row r="348">
      <c r="A348" s="124"/>
      <c r="B348" s="124"/>
      <c r="C348" s="124"/>
      <c r="D348" s="124"/>
      <c r="E348" s="124"/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</row>
    <row r="349">
      <c r="A349" s="124"/>
      <c r="B349" s="124"/>
      <c r="C349" s="124"/>
      <c r="D349" s="124"/>
      <c r="E349" s="124"/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</row>
    <row r="350">
      <c r="A350" s="124"/>
      <c r="B350" s="124"/>
      <c r="C350" s="124"/>
      <c r="D350" s="124"/>
      <c r="E350" s="124"/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</row>
    <row r="351">
      <c r="A351" s="124"/>
      <c r="B351" s="124"/>
      <c r="C351" s="124"/>
      <c r="D351" s="124"/>
      <c r="E351" s="124"/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</row>
    <row r="352">
      <c r="A352" s="124"/>
      <c r="B352" s="124"/>
      <c r="C352" s="124"/>
      <c r="D352" s="124"/>
      <c r="E352" s="124"/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</row>
    <row r="353">
      <c r="A353" s="124"/>
      <c r="B353" s="124"/>
      <c r="C353" s="124"/>
      <c r="D353" s="124"/>
      <c r="E353" s="124"/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</row>
    <row r="354">
      <c r="A354" s="124"/>
      <c r="B354" s="124"/>
      <c r="C354" s="124"/>
      <c r="D354" s="124"/>
      <c r="E354" s="12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</row>
    <row r="355">
      <c r="A355" s="124"/>
      <c r="B355" s="124"/>
      <c r="C355" s="124"/>
      <c r="D355" s="124"/>
      <c r="E355" s="124"/>
      <c r="F355" s="124"/>
      <c r="G355" s="124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</row>
    <row r="356">
      <c r="A356" s="124"/>
      <c r="B356" s="124"/>
      <c r="C356" s="124"/>
      <c r="D356" s="124"/>
      <c r="E356" s="124"/>
      <c r="F356" s="124"/>
      <c r="G356" s="124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</row>
    <row r="357">
      <c r="A357" s="124"/>
      <c r="B357" s="124"/>
      <c r="C357" s="124"/>
      <c r="D357" s="124"/>
      <c r="E357" s="124"/>
      <c r="F357" s="124"/>
      <c r="G357" s="124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</row>
    <row r="358">
      <c r="A358" s="124"/>
      <c r="B358" s="124"/>
      <c r="C358" s="124"/>
      <c r="D358" s="124"/>
      <c r="E358" s="124"/>
      <c r="F358" s="124"/>
      <c r="G358" s="124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</row>
    <row r="359">
      <c r="A359" s="124"/>
      <c r="B359" s="124"/>
      <c r="C359" s="124"/>
      <c r="D359" s="124"/>
      <c r="E359" s="124"/>
      <c r="F359" s="124"/>
      <c r="G359" s="124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</row>
    <row r="360">
      <c r="A360" s="124"/>
      <c r="B360" s="124"/>
      <c r="C360" s="124"/>
      <c r="D360" s="124"/>
      <c r="E360" s="124"/>
      <c r="F360" s="124"/>
      <c r="G360" s="124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</row>
    <row r="361">
      <c r="A361" s="124"/>
      <c r="B361" s="124"/>
      <c r="C361" s="124"/>
      <c r="D361" s="124"/>
      <c r="E361" s="124"/>
      <c r="F361" s="124"/>
      <c r="G361" s="124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</row>
    <row r="362">
      <c r="A362" s="124"/>
      <c r="B362" s="124"/>
      <c r="C362" s="124"/>
      <c r="D362" s="124"/>
      <c r="E362" s="124"/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</row>
    <row r="363">
      <c r="A363" s="124"/>
      <c r="B363" s="124"/>
      <c r="C363" s="124"/>
      <c r="D363" s="124"/>
      <c r="E363" s="124"/>
      <c r="F363" s="124"/>
      <c r="G363" s="124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</row>
    <row r="364">
      <c r="A364" s="124"/>
      <c r="B364" s="124"/>
      <c r="C364" s="124"/>
      <c r="D364" s="124"/>
      <c r="E364" s="124"/>
      <c r="F364" s="124"/>
      <c r="G364" s="124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</row>
    <row r="365">
      <c r="A365" s="124"/>
      <c r="B365" s="124"/>
      <c r="C365" s="124"/>
      <c r="D365" s="124"/>
      <c r="E365" s="124"/>
      <c r="F365" s="124"/>
      <c r="G365" s="124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</row>
    <row r="366">
      <c r="A366" s="124"/>
      <c r="B366" s="124"/>
      <c r="C366" s="124"/>
      <c r="D366" s="124"/>
      <c r="E366" s="124"/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</row>
    <row r="367">
      <c r="A367" s="124"/>
      <c r="B367" s="124"/>
      <c r="C367" s="124"/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</row>
    <row r="368">
      <c r="A368" s="124"/>
      <c r="B368" s="124"/>
      <c r="C368" s="124"/>
      <c r="D368" s="124"/>
      <c r="E368" s="124"/>
      <c r="F368" s="124"/>
      <c r="G368" s="124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</row>
    <row r="369">
      <c r="A369" s="124"/>
      <c r="B369" s="124"/>
      <c r="C369" s="124"/>
      <c r="D369" s="124"/>
      <c r="E369" s="124"/>
      <c r="F369" s="124"/>
      <c r="G369" s="124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</row>
    <row r="370">
      <c r="A370" s="124"/>
      <c r="B370" s="124"/>
      <c r="C370" s="124"/>
      <c r="D370" s="124"/>
      <c r="E370" s="124"/>
      <c r="F370" s="124"/>
      <c r="G370" s="124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</row>
    <row r="371">
      <c r="A371" s="124"/>
      <c r="B371" s="124"/>
      <c r="C371" s="124"/>
      <c r="D371" s="124"/>
      <c r="E371" s="124"/>
      <c r="F371" s="124"/>
      <c r="G371" s="124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</row>
    <row r="372">
      <c r="A372" s="124"/>
      <c r="B372" s="124"/>
      <c r="C372" s="124"/>
      <c r="D372" s="124"/>
      <c r="E372" s="124"/>
      <c r="F372" s="124"/>
      <c r="G372" s="124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</row>
    <row r="373">
      <c r="A373" s="124"/>
      <c r="B373" s="124"/>
      <c r="C373" s="124"/>
      <c r="D373" s="124"/>
      <c r="E373" s="124"/>
      <c r="F373" s="124"/>
      <c r="G373" s="124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</row>
    <row r="374">
      <c r="A374" s="124"/>
      <c r="B374" s="124"/>
      <c r="C374" s="124"/>
      <c r="D374" s="124"/>
      <c r="E374" s="124"/>
      <c r="F374" s="124"/>
      <c r="G374" s="124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</row>
    <row r="375">
      <c r="A375" s="124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</row>
    <row r="376">
      <c r="A376" s="124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</row>
    <row r="377">
      <c r="A377" s="124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</row>
    <row r="378">
      <c r="A378" s="124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</row>
    <row r="379">
      <c r="A379" s="124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</row>
    <row r="380">
      <c r="A380" s="124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</row>
    <row r="381">
      <c r="A381" s="124"/>
      <c r="B381" s="124"/>
      <c r="C381" s="124"/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</row>
    <row r="382">
      <c r="A382" s="124"/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</row>
    <row r="383">
      <c r="A383" s="124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</row>
    <row r="384">
      <c r="A384" s="124"/>
      <c r="B384" s="124"/>
      <c r="C384" s="124"/>
      <c r="D384" s="124"/>
      <c r="E384" s="124"/>
      <c r="F384" s="124"/>
      <c r="G384" s="124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</row>
    <row r="385">
      <c r="A385" s="124"/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</row>
    <row r="386">
      <c r="A386" s="124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</row>
    <row r="387">
      <c r="A387" s="124"/>
      <c r="B387" s="124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</row>
    <row r="388">
      <c r="A388" s="124"/>
      <c r="B388" s="124"/>
      <c r="C388" s="124"/>
      <c r="D388" s="124"/>
      <c r="E388" s="124"/>
      <c r="F388" s="124"/>
      <c r="G388" s="124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</row>
    <row r="389">
      <c r="A389" s="124"/>
      <c r="B389" s="124"/>
      <c r="C389" s="124"/>
      <c r="D389" s="124"/>
      <c r="E389" s="124"/>
      <c r="F389" s="124"/>
      <c r="G389" s="124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</row>
    <row r="390">
      <c r="A390" s="124"/>
      <c r="B390" s="124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</row>
    <row r="391">
      <c r="A391" s="124"/>
      <c r="B391" s="124"/>
      <c r="C391" s="124"/>
      <c r="D391" s="124"/>
      <c r="E391" s="124"/>
      <c r="F391" s="124"/>
      <c r="G391" s="124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</row>
    <row r="392">
      <c r="A392" s="124"/>
      <c r="B392" s="124"/>
      <c r="C392" s="124"/>
      <c r="D392" s="124"/>
      <c r="E392" s="124"/>
      <c r="F392" s="124"/>
      <c r="G392" s="124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</row>
    <row r="393">
      <c r="A393" s="124"/>
      <c r="B393" s="124"/>
      <c r="C393" s="124"/>
      <c r="D393" s="124"/>
      <c r="E393" s="124"/>
      <c r="F393" s="124"/>
      <c r="G393" s="124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</row>
    <row r="394">
      <c r="A394" s="124"/>
      <c r="B394" s="124"/>
      <c r="C394" s="124"/>
      <c r="D394" s="124"/>
      <c r="E394" s="124"/>
      <c r="F394" s="124"/>
      <c r="G394" s="124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</row>
    <row r="395">
      <c r="A395" s="124"/>
      <c r="B395" s="124"/>
      <c r="C395" s="124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</row>
    <row r="396">
      <c r="A396" s="124"/>
      <c r="B396" s="124"/>
      <c r="C396" s="124"/>
      <c r="D396" s="124"/>
      <c r="E396" s="124"/>
      <c r="F396" s="124"/>
      <c r="G396" s="124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</row>
    <row r="397">
      <c r="A397" s="124"/>
      <c r="B397" s="124"/>
      <c r="C397" s="124"/>
      <c r="D397" s="124"/>
      <c r="E397" s="124"/>
      <c r="F397" s="124"/>
      <c r="G397" s="124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</row>
    <row r="398">
      <c r="A398" s="124"/>
      <c r="B398" s="124"/>
      <c r="C398" s="124"/>
      <c r="D398" s="124"/>
      <c r="E398" s="124"/>
      <c r="F398" s="124"/>
      <c r="G398" s="124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</row>
    <row r="399">
      <c r="A399" s="124"/>
      <c r="B399" s="124"/>
      <c r="C399" s="124"/>
      <c r="D399" s="124"/>
      <c r="E399" s="124"/>
      <c r="F399" s="124"/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</row>
    <row r="400">
      <c r="A400" s="124"/>
      <c r="B400" s="124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</row>
    <row r="401">
      <c r="A401" s="124"/>
      <c r="B401" s="124"/>
      <c r="C401" s="124"/>
      <c r="D401" s="124"/>
      <c r="E401" s="124"/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</row>
    <row r="402">
      <c r="A402" s="124"/>
      <c r="B402" s="124"/>
      <c r="C402" s="124"/>
      <c r="D402" s="124"/>
      <c r="E402" s="124"/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</row>
    <row r="403">
      <c r="A403" s="124"/>
      <c r="B403" s="124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</row>
    <row r="404">
      <c r="A404" s="124"/>
      <c r="B404" s="124"/>
      <c r="C404" s="124"/>
      <c r="D404" s="124"/>
      <c r="E404" s="124"/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</row>
    <row r="405">
      <c r="A405" s="124"/>
      <c r="B405" s="124"/>
      <c r="C405" s="124"/>
      <c r="D405" s="124"/>
      <c r="E405" s="124"/>
      <c r="F405" s="124"/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</row>
    <row r="406">
      <c r="A406" s="124"/>
      <c r="B406" s="124"/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</row>
    <row r="407">
      <c r="A407" s="124"/>
      <c r="B407" s="124"/>
      <c r="C407" s="124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</row>
    <row r="408">
      <c r="A408" s="124"/>
      <c r="B408" s="124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</row>
    <row r="409">
      <c r="A409" s="124"/>
      <c r="B409" s="124"/>
      <c r="C409" s="124"/>
      <c r="D409" s="124"/>
      <c r="E409" s="124"/>
      <c r="F409" s="124"/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</row>
    <row r="410">
      <c r="A410" s="124"/>
      <c r="B410" s="124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</row>
    <row r="411">
      <c r="A411" s="124"/>
      <c r="B411" s="124"/>
      <c r="C411" s="124"/>
      <c r="D411" s="124"/>
      <c r="E411" s="124"/>
      <c r="F411" s="124"/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</row>
    <row r="412">
      <c r="A412" s="124"/>
      <c r="B412" s="124"/>
      <c r="C412" s="124"/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</row>
    <row r="413">
      <c r="A413" s="124"/>
      <c r="B413" s="124"/>
      <c r="C413" s="124"/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</row>
    <row r="414">
      <c r="A414" s="124"/>
      <c r="B414" s="124"/>
      <c r="C414" s="124"/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</row>
    <row r="415">
      <c r="A415" s="124"/>
      <c r="B415" s="124"/>
      <c r="C415" s="124"/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</row>
    <row r="416">
      <c r="A416" s="124"/>
      <c r="B416" s="124"/>
      <c r="C416" s="124"/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</row>
    <row r="417">
      <c r="A417" s="124"/>
      <c r="B417" s="124"/>
      <c r="C417" s="124"/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</row>
    <row r="418">
      <c r="A418" s="124"/>
      <c r="B418" s="124"/>
      <c r="C418" s="124"/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</row>
    <row r="419">
      <c r="A419" s="124"/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</row>
    <row r="420">
      <c r="A420" s="124"/>
      <c r="B420" s="124"/>
      <c r="C420" s="124"/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</row>
    <row r="421">
      <c r="A421" s="124"/>
      <c r="B421" s="12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</row>
    <row r="422">
      <c r="A422" s="124"/>
      <c r="B422" s="124"/>
      <c r="C422" s="124"/>
      <c r="D422" s="124"/>
      <c r="E422" s="124"/>
      <c r="F422" s="124"/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</row>
    <row r="423">
      <c r="A423" s="124"/>
      <c r="B423" s="124"/>
      <c r="C423" s="124"/>
      <c r="D423" s="124"/>
      <c r="E423" s="124"/>
      <c r="F423" s="124"/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</row>
    <row r="424">
      <c r="A424" s="124"/>
      <c r="B424" s="124"/>
      <c r="C424" s="124"/>
      <c r="D424" s="124"/>
      <c r="E424" s="124"/>
      <c r="F424" s="124"/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</row>
    <row r="425">
      <c r="A425" s="124"/>
      <c r="B425" s="124"/>
      <c r="C425" s="124"/>
      <c r="D425" s="124"/>
      <c r="E425" s="124"/>
      <c r="F425" s="124"/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</row>
    <row r="426">
      <c r="A426" s="124"/>
      <c r="B426" s="124"/>
      <c r="C426" s="124"/>
      <c r="D426" s="124"/>
      <c r="E426" s="124"/>
      <c r="F426" s="124"/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</row>
    <row r="427">
      <c r="A427" s="124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</row>
    <row r="428">
      <c r="A428" s="124"/>
      <c r="B428" s="124"/>
      <c r="C428" s="124"/>
      <c r="D428" s="124"/>
      <c r="E428" s="124"/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</row>
    <row r="429">
      <c r="A429" s="124"/>
      <c r="B429" s="124"/>
      <c r="C429" s="124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</row>
    <row r="430">
      <c r="A430" s="124"/>
      <c r="B430" s="124"/>
      <c r="C430" s="124"/>
      <c r="D430" s="124"/>
      <c r="E430" s="124"/>
      <c r="F430" s="124"/>
      <c r="G430" s="124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</row>
    <row r="431">
      <c r="A431" s="124"/>
      <c r="B431" s="124"/>
      <c r="C431" s="124"/>
      <c r="D431" s="124"/>
      <c r="E431" s="124"/>
      <c r="F431" s="124"/>
      <c r="G431" s="124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</row>
    <row r="432">
      <c r="A432" s="124"/>
      <c r="B432" s="124"/>
      <c r="C432" s="124"/>
      <c r="D432" s="124"/>
      <c r="E432" s="124"/>
      <c r="F432" s="124"/>
      <c r="G432" s="124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</row>
    <row r="433">
      <c r="A433" s="124"/>
      <c r="B433" s="124"/>
      <c r="C433" s="124"/>
      <c r="D433" s="124"/>
      <c r="E433" s="124"/>
      <c r="F433" s="124"/>
      <c r="G433" s="124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</row>
    <row r="434">
      <c r="A434" s="124"/>
      <c r="B434" s="124"/>
      <c r="C434" s="124"/>
      <c r="D434" s="124"/>
      <c r="E434" s="124"/>
      <c r="F434" s="124"/>
      <c r="G434" s="124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</row>
    <row r="435">
      <c r="A435" s="124"/>
      <c r="B435" s="124"/>
      <c r="C435" s="124"/>
      <c r="D435" s="124"/>
      <c r="E435" s="124"/>
      <c r="F435" s="124"/>
      <c r="G435" s="124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</row>
    <row r="436">
      <c r="A436" s="124"/>
      <c r="B436" s="124"/>
      <c r="C436" s="124"/>
      <c r="D436" s="124"/>
      <c r="E436" s="124"/>
      <c r="F436" s="124"/>
      <c r="G436" s="124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</row>
    <row r="437">
      <c r="A437" s="124"/>
      <c r="B437" s="124"/>
      <c r="C437" s="124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</row>
    <row r="438">
      <c r="A438" s="124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</row>
    <row r="439">
      <c r="A439" s="124"/>
      <c r="B439" s="124"/>
      <c r="C439" s="124"/>
      <c r="D439" s="124"/>
      <c r="E439" s="124"/>
      <c r="F439" s="124"/>
      <c r="G439" s="124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</row>
    <row r="440">
      <c r="A440" s="124"/>
      <c r="B440" s="124"/>
      <c r="C440" s="124"/>
      <c r="D440" s="124"/>
      <c r="E440" s="124"/>
      <c r="F440" s="124"/>
      <c r="G440" s="124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</row>
    <row r="441">
      <c r="A441" s="124"/>
      <c r="B441" s="124"/>
      <c r="C441" s="124"/>
      <c r="D441" s="124"/>
      <c r="E441" s="124"/>
      <c r="F441" s="124"/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</row>
    <row r="442">
      <c r="A442" s="124"/>
      <c r="B442" s="124"/>
      <c r="C442" s="124"/>
      <c r="D442" s="124"/>
      <c r="E442" s="124"/>
      <c r="F442" s="124"/>
      <c r="G442" s="124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</row>
    <row r="443">
      <c r="A443" s="124"/>
      <c r="B443" s="124"/>
      <c r="C443" s="124"/>
      <c r="D443" s="124"/>
      <c r="E443" s="124"/>
      <c r="F443" s="124"/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</row>
    <row r="444">
      <c r="A444" s="124"/>
      <c r="B444" s="124"/>
      <c r="C444" s="124"/>
      <c r="D444" s="124"/>
      <c r="E444" s="124"/>
      <c r="F444" s="124"/>
      <c r="G444" s="124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</row>
    <row r="445">
      <c r="A445" s="124"/>
      <c r="B445" s="124"/>
      <c r="C445" s="124"/>
      <c r="D445" s="124"/>
      <c r="E445" s="124"/>
      <c r="F445" s="124"/>
      <c r="G445" s="124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</row>
    <row r="446">
      <c r="A446" s="124"/>
      <c r="B446" s="124"/>
      <c r="C446" s="124"/>
      <c r="D446" s="124"/>
      <c r="E446" s="124"/>
      <c r="F446" s="124"/>
      <c r="G446" s="124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</row>
    <row r="447">
      <c r="A447" s="124"/>
      <c r="B447" s="124"/>
      <c r="C447" s="124"/>
      <c r="D447" s="124"/>
      <c r="E447" s="124"/>
      <c r="F447" s="124"/>
      <c r="G447" s="124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</row>
    <row r="448">
      <c r="A448" s="124"/>
      <c r="B448" s="124"/>
      <c r="C448" s="124"/>
      <c r="D448" s="124"/>
      <c r="E448" s="124"/>
      <c r="F448" s="124"/>
      <c r="G448" s="124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</row>
    <row r="449">
      <c r="A449" s="124"/>
      <c r="B449" s="124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</row>
    <row r="450">
      <c r="A450" s="124"/>
      <c r="B450" s="124"/>
      <c r="C450" s="124"/>
      <c r="D450" s="124"/>
      <c r="E450" s="124"/>
      <c r="F450" s="124"/>
      <c r="G450" s="124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</row>
    <row r="451">
      <c r="A451" s="124"/>
      <c r="B451" s="124"/>
      <c r="C451" s="124"/>
      <c r="D451" s="124"/>
      <c r="E451" s="124"/>
      <c r="F451" s="124"/>
      <c r="G451" s="124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</row>
    <row r="452">
      <c r="A452" s="124"/>
      <c r="B452" s="124"/>
      <c r="C452" s="124"/>
      <c r="D452" s="124"/>
      <c r="E452" s="124"/>
      <c r="F452" s="124"/>
      <c r="G452" s="124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</row>
    <row r="453">
      <c r="A453" s="124"/>
      <c r="B453" s="124"/>
      <c r="C453" s="124"/>
      <c r="D453" s="124"/>
      <c r="E453" s="124"/>
      <c r="F453" s="124"/>
      <c r="G453" s="124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</row>
    <row r="454">
      <c r="A454" s="124"/>
      <c r="B454" s="124"/>
      <c r="C454" s="124"/>
      <c r="D454" s="124"/>
      <c r="E454" s="124"/>
      <c r="F454" s="124"/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</row>
    <row r="455">
      <c r="A455" s="124"/>
      <c r="B455" s="124"/>
      <c r="C455" s="124"/>
      <c r="D455" s="124"/>
      <c r="E455" s="124"/>
      <c r="F455" s="124"/>
      <c r="G455" s="124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</row>
    <row r="456">
      <c r="A456" s="124"/>
      <c r="B456" s="124"/>
      <c r="C456" s="124"/>
      <c r="D456" s="124"/>
      <c r="E456" s="124"/>
      <c r="F456" s="124"/>
      <c r="G456" s="124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</row>
    <row r="457">
      <c r="A457" s="124"/>
      <c r="B457" s="124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</row>
    <row r="458">
      <c r="A458" s="124"/>
      <c r="B458" s="124"/>
      <c r="C458" s="124"/>
      <c r="D458" s="124"/>
      <c r="E458" s="124"/>
      <c r="F458" s="124"/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</row>
    <row r="459">
      <c r="A459" s="124"/>
      <c r="B459" s="124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</row>
    <row r="460">
      <c r="A460" s="124"/>
      <c r="B460" s="124"/>
      <c r="C460" s="124"/>
      <c r="D460" s="124"/>
      <c r="E460" s="124"/>
      <c r="F460" s="124"/>
      <c r="G460" s="124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</row>
    <row r="461">
      <c r="A461" s="124"/>
      <c r="B461" s="124"/>
      <c r="C461" s="124"/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</row>
    <row r="462">
      <c r="A462" s="124"/>
      <c r="B462" s="124"/>
      <c r="C462" s="124"/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</row>
    <row r="463">
      <c r="A463" s="124"/>
      <c r="B463" s="124"/>
      <c r="C463" s="124"/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</row>
    <row r="464">
      <c r="A464" s="124"/>
      <c r="B464" s="124"/>
      <c r="C464" s="124"/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</row>
    <row r="465">
      <c r="A465" s="124"/>
      <c r="B465" s="124"/>
      <c r="C465" s="124"/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</row>
    <row r="466">
      <c r="A466" s="124"/>
      <c r="B466" s="124"/>
      <c r="C466" s="124"/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</row>
    <row r="467">
      <c r="A467" s="124"/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</row>
    <row r="468">
      <c r="A468" s="124"/>
      <c r="B468" s="124"/>
      <c r="C468" s="124"/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</row>
    <row r="469">
      <c r="A469" s="124"/>
      <c r="B469" s="124"/>
      <c r="C469" s="124"/>
      <c r="D469" s="124"/>
      <c r="E469" s="124"/>
      <c r="F469" s="124"/>
      <c r="G469" s="124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</row>
    <row r="470">
      <c r="A470" s="124"/>
      <c r="B470" s="124"/>
      <c r="C470" s="124"/>
      <c r="D470" s="124"/>
      <c r="E470" s="124"/>
      <c r="F470" s="124"/>
      <c r="G470" s="124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</row>
    <row r="471">
      <c r="A471" s="124"/>
      <c r="B471" s="124"/>
      <c r="C471" s="124"/>
      <c r="D471" s="124"/>
      <c r="E471" s="124"/>
      <c r="F471" s="124"/>
      <c r="G471" s="124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</row>
    <row r="472">
      <c r="A472" s="124"/>
      <c r="B472" s="124"/>
      <c r="C472" s="124"/>
      <c r="D472" s="124"/>
      <c r="E472" s="124"/>
      <c r="F472" s="124"/>
      <c r="G472" s="124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</row>
    <row r="473">
      <c r="A473" s="124"/>
      <c r="B473" s="124"/>
      <c r="C473" s="124"/>
      <c r="D473" s="124"/>
      <c r="E473" s="124"/>
      <c r="F473" s="124"/>
      <c r="G473" s="124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</row>
    <row r="474">
      <c r="A474" s="124"/>
      <c r="B474" s="124"/>
      <c r="C474" s="124"/>
      <c r="D474" s="124"/>
      <c r="E474" s="124"/>
      <c r="F474" s="124"/>
      <c r="G474" s="124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</row>
    <row r="475">
      <c r="A475" s="124"/>
      <c r="B475" s="124"/>
      <c r="C475" s="124"/>
      <c r="D475" s="124"/>
      <c r="E475" s="124"/>
      <c r="F475" s="124"/>
      <c r="G475" s="124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</row>
    <row r="476">
      <c r="A476" s="124"/>
      <c r="B476" s="124"/>
      <c r="C476" s="124"/>
      <c r="D476" s="124"/>
      <c r="E476" s="124"/>
      <c r="F476" s="124"/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</row>
    <row r="477">
      <c r="A477" s="124"/>
      <c r="B477" s="124"/>
      <c r="C477" s="124"/>
      <c r="D477" s="124"/>
      <c r="E477" s="124"/>
      <c r="F477" s="124"/>
      <c r="G477" s="124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</row>
    <row r="478">
      <c r="A478" s="124"/>
      <c r="B478" s="124"/>
      <c r="C478" s="124"/>
      <c r="D478" s="124"/>
      <c r="E478" s="124"/>
      <c r="F478" s="124"/>
      <c r="G478" s="124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</row>
    <row r="479">
      <c r="A479" s="124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</row>
    <row r="480">
      <c r="A480" s="124"/>
      <c r="B480" s="124"/>
      <c r="C480" s="124"/>
      <c r="D480" s="124"/>
      <c r="E480" s="124"/>
      <c r="F480" s="124"/>
      <c r="G480" s="124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</row>
    <row r="481">
      <c r="A481" s="124"/>
      <c r="B481" s="124"/>
      <c r="C481" s="124"/>
      <c r="D481" s="124"/>
      <c r="E481" s="124"/>
      <c r="F481" s="124"/>
      <c r="G481" s="124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</row>
    <row r="482">
      <c r="A482" s="124"/>
      <c r="B482" s="124"/>
      <c r="C482" s="124"/>
      <c r="D482" s="124"/>
      <c r="E482" s="124"/>
      <c r="F482" s="124"/>
      <c r="G482" s="124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</row>
    <row r="483">
      <c r="A483" s="124"/>
      <c r="B483" s="124"/>
      <c r="C483" s="124"/>
      <c r="D483" s="124"/>
      <c r="E483" s="124"/>
      <c r="F483" s="124"/>
      <c r="G483" s="124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</row>
    <row r="484">
      <c r="A484" s="124"/>
      <c r="B484" s="124"/>
      <c r="C484" s="124"/>
      <c r="D484" s="124"/>
      <c r="E484" s="124"/>
      <c r="F484" s="124"/>
      <c r="G484" s="124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</row>
    <row r="485">
      <c r="A485" s="124"/>
      <c r="B485" s="124"/>
      <c r="C485" s="124"/>
      <c r="D485" s="124"/>
      <c r="E485" s="124"/>
      <c r="F485" s="124"/>
      <c r="G485" s="124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</row>
    <row r="486">
      <c r="A486" s="124"/>
      <c r="B486" s="124"/>
      <c r="C486" s="124"/>
      <c r="D486" s="124"/>
      <c r="E486" s="124"/>
      <c r="F486" s="124"/>
      <c r="G486" s="124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</row>
    <row r="487">
      <c r="A487" s="124"/>
      <c r="B487" s="124"/>
      <c r="C487" s="124"/>
      <c r="D487" s="124"/>
      <c r="E487" s="124"/>
      <c r="F487" s="124"/>
      <c r="G487" s="124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</row>
    <row r="488">
      <c r="A488" s="124"/>
      <c r="B488" s="124"/>
      <c r="C488" s="124"/>
      <c r="D488" s="124"/>
      <c r="E488" s="124"/>
      <c r="F488" s="124"/>
      <c r="G488" s="124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</row>
    <row r="489">
      <c r="A489" s="124"/>
      <c r="B489" s="124"/>
      <c r="C489" s="124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</row>
    <row r="490">
      <c r="A490" s="124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</row>
    <row r="491">
      <c r="A491" s="124"/>
      <c r="B491" s="124"/>
      <c r="C491" s="124"/>
      <c r="D491" s="124"/>
      <c r="E491" s="124"/>
      <c r="F491" s="124"/>
      <c r="G491" s="124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</row>
    <row r="492">
      <c r="A492" s="124"/>
      <c r="B492" s="124"/>
      <c r="C492" s="124"/>
      <c r="D492" s="124"/>
      <c r="E492" s="124"/>
      <c r="F492" s="124"/>
      <c r="G492" s="124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</row>
    <row r="493">
      <c r="A493" s="124"/>
      <c r="B493" s="124"/>
      <c r="C493" s="124"/>
      <c r="D493" s="124"/>
      <c r="E493" s="124"/>
      <c r="F493" s="124"/>
      <c r="G493" s="124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</row>
    <row r="494">
      <c r="A494" s="124"/>
      <c r="B494" s="124"/>
      <c r="C494" s="124"/>
      <c r="D494" s="124"/>
      <c r="E494" s="124"/>
      <c r="F494" s="124"/>
      <c r="G494" s="124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</row>
    <row r="495">
      <c r="A495" s="124"/>
      <c r="B495" s="124"/>
      <c r="C495" s="124"/>
      <c r="D495" s="124"/>
      <c r="E495" s="124"/>
      <c r="F495" s="124"/>
      <c r="G495" s="124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</row>
    <row r="496">
      <c r="A496" s="124"/>
      <c r="B496" s="124"/>
      <c r="C496" s="124"/>
      <c r="D496" s="124"/>
      <c r="E496" s="124"/>
      <c r="F496" s="124"/>
      <c r="G496" s="124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</row>
    <row r="497">
      <c r="A497" s="124"/>
      <c r="B497" s="124"/>
      <c r="C497" s="124"/>
      <c r="D497" s="124"/>
      <c r="E497" s="124"/>
      <c r="F497" s="124"/>
      <c r="G497" s="124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</row>
    <row r="498">
      <c r="A498" s="124"/>
      <c r="B498" s="124"/>
      <c r="C498" s="124"/>
      <c r="D498" s="124"/>
      <c r="E498" s="124"/>
      <c r="F498" s="124"/>
      <c r="G498" s="124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</row>
    <row r="499">
      <c r="A499" s="124"/>
      <c r="B499" s="124"/>
      <c r="C499" s="124"/>
      <c r="D499" s="124"/>
      <c r="E499" s="124"/>
      <c r="F499" s="124"/>
      <c r="G499" s="124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</row>
    <row r="500">
      <c r="A500" s="124"/>
      <c r="B500" s="124"/>
      <c r="C500" s="124"/>
      <c r="D500" s="124"/>
      <c r="E500" s="124"/>
      <c r="F500" s="124"/>
      <c r="G500" s="124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</row>
    <row r="501">
      <c r="A501" s="124"/>
      <c r="B501" s="124"/>
      <c r="C501" s="124"/>
      <c r="D501" s="124"/>
      <c r="E501" s="124"/>
      <c r="F501" s="124"/>
      <c r="G501" s="124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</row>
    <row r="502">
      <c r="A502" s="124"/>
      <c r="B502" s="124"/>
      <c r="C502" s="124"/>
      <c r="D502" s="124"/>
      <c r="E502" s="124"/>
      <c r="F502" s="124"/>
      <c r="G502" s="124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</row>
    <row r="503">
      <c r="A503" s="124"/>
      <c r="B503" s="124"/>
      <c r="C503" s="124"/>
      <c r="D503" s="124"/>
      <c r="E503" s="124"/>
      <c r="F503" s="124"/>
      <c r="G503" s="124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</row>
    <row r="504">
      <c r="A504" s="124"/>
      <c r="B504" s="124"/>
      <c r="C504" s="124"/>
      <c r="D504" s="124"/>
      <c r="E504" s="124"/>
      <c r="F504" s="124"/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</row>
    <row r="505">
      <c r="A505" s="124"/>
      <c r="B505" s="124"/>
      <c r="C505" s="124"/>
      <c r="D505" s="124"/>
      <c r="E505" s="124"/>
      <c r="F505" s="124"/>
      <c r="G505" s="124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</row>
    <row r="506">
      <c r="A506" s="124"/>
      <c r="B506" s="124"/>
      <c r="C506" s="124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</row>
    <row r="507">
      <c r="A507" s="124"/>
      <c r="B507" s="124"/>
      <c r="C507" s="124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</row>
    <row r="508">
      <c r="A508" s="124"/>
      <c r="B508" s="124"/>
      <c r="C508" s="124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</row>
    <row r="509">
      <c r="A509" s="124"/>
      <c r="B509" s="124"/>
      <c r="C509" s="124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</row>
    <row r="510">
      <c r="A510" s="124"/>
      <c r="B510" s="124"/>
      <c r="C510" s="124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</row>
    <row r="511">
      <c r="A511" s="124"/>
      <c r="B511" s="124"/>
      <c r="C511" s="124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</row>
    <row r="512">
      <c r="A512" s="124"/>
      <c r="B512" s="124"/>
      <c r="C512" s="124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</row>
    <row r="513">
      <c r="A513" s="124"/>
      <c r="B513" s="124"/>
      <c r="C513" s="124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</row>
    <row r="514">
      <c r="A514" s="124"/>
      <c r="B514" s="124"/>
      <c r="C514" s="124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</row>
    <row r="515">
      <c r="A515" s="124"/>
      <c r="B515" s="124"/>
      <c r="C515" s="124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</row>
    <row r="516">
      <c r="A516" s="124"/>
      <c r="B516" s="124"/>
      <c r="C516" s="124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</row>
    <row r="517">
      <c r="A517" s="124"/>
      <c r="B517" s="124"/>
      <c r="C517" s="124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</row>
    <row r="518">
      <c r="A518" s="124"/>
      <c r="B518" s="124"/>
      <c r="C518" s="124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</row>
    <row r="519">
      <c r="A519" s="124"/>
      <c r="B519" s="124"/>
      <c r="C519" s="124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</row>
    <row r="520">
      <c r="A520" s="124"/>
      <c r="B520" s="124"/>
      <c r="C520" s="124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</row>
    <row r="521">
      <c r="A521" s="124"/>
      <c r="B521" s="124"/>
      <c r="C521" s="124"/>
      <c r="D521" s="124"/>
      <c r="E521" s="124"/>
      <c r="F521" s="124"/>
      <c r="G521" s="124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</row>
    <row r="522">
      <c r="A522" s="124"/>
      <c r="B522" s="124"/>
      <c r="C522" s="124"/>
      <c r="D522" s="124"/>
      <c r="E522" s="124"/>
      <c r="F522" s="124"/>
      <c r="G522" s="124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</row>
    <row r="523">
      <c r="A523" s="124"/>
      <c r="B523" s="124"/>
      <c r="C523" s="124"/>
      <c r="D523" s="124"/>
      <c r="E523" s="124"/>
      <c r="F523" s="124"/>
      <c r="G523" s="124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</row>
    <row r="524">
      <c r="A524" s="124"/>
      <c r="B524" s="124"/>
      <c r="C524" s="124"/>
      <c r="D524" s="124"/>
      <c r="E524" s="124"/>
      <c r="F524" s="124"/>
      <c r="G524" s="124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</row>
    <row r="525">
      <c r="A525" s="124"/>
      <c r="B525" s="124"/>
      <c r="C525" s="124"/>
      <c r="D525" s="124"/>
      <c r="E525" s="124"/>
      <c r="F525" s="124"/>
      <c r="G525" s="124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</row>
    <row r="526">
      <c r="A526" s="124"/>
      <c r="B526" s="124"/>
      <c r="C526" s="124"/>
      <c r="D526" s="124"/>
      <c r="E526" s="124"/>
      <c r="F526" s="124"/>
      <c r="G526" s="124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</row>
    <row r="527">
      <c r="A527" s="124"/>
      <c r="B527" s="124"/>
      <c r="C527" s="124"/>
      <c r="D527" s="124"/>
      <c r="E527" s="124"/>
      <c r="F527" s="124"/>
      <c r="G527" s="124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</row>
    <row r="528">
      <c r="A528" s="124"/>
      <c r="B528" s="124"/>
      <c r="C528" s="124"/>
      <c r="D528" s="124"/>
      <c r="E528" s="124"/>
      <c r="F528" s="124"/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</row>
    <row r="529">
      <c r="A529" s="124"/>
      <c r="B529" s="124"/>
      <c r="C529" s="124"/>
      <c r="D529" s="124"/>
      <c r="E529" s="124"/>
      <c r="F529" s="124"/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</row>
    <row r="530">
      <c r="A530" s="124"/>
      <c r="B530" s="124"/>
      <c r="C530" s="124"/>
      <c r="D530" s="124"/>
      <c r="E530" s="124"/>
      <c r="F530" s="124"/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</row>
    <row r="531">
      <c r="A531" s="124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</row>
    <row r="532">
      <c r="A532" s="124"/>
      <c r="B532" s="124"/>
      <c r="C532" s="124"/>
      <c r="D532" s="124"/>
      <c r="E532" s="124"/>
      <c r="F532" s="124"/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</row>
    <row r="533">
      <c r="A533" s="124"/>
      <c r="B533" s="124"/>
      <c r="C533" s="124"/>
      <c r="D533" s="124"/>
      <c r="E533" s="124"/>
      <c r="F533" s="124"/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</row>
    <row r="534">
      <c r="A534" s="124"/>
      <c r="B534" s="124"/>
      <c r="C534" s="124"/>
      <c r="D534" s="124"/>
      <c r="E534" s="124"/>
      <c r="F534" s="124"/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</row>
    <row r="535">
      <c r="A535" s="124"/>
      <c r="B535" s="124"/>
      <c r="C535" s="124"/>
      <c r="D535" s="124"/>
      <c r="E535" s="124"/>
      <c r="F535" s="124"/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</row>
    <row r="536">
      <c r="A536" s="124"/>
      <c r="B536" s="124"/>
      <c r="C536" s="124"/>
      <c r="D536" s="124"/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</row>
    <row r="537">
      <c r="A537" s="124"/>
      <c r="B537" s="124"/>
      <c r="C537" s="124"/>
      <c r="D537" s="124"/>
      <c r="E537" s="124"/>
      <c r="F537" s="124"/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</row>
    <row r="538">
      <c r="A538" s="124"/>
      <c r="B538" s="124"/>
      <c r="C538" s="124"/>
      <c r="D538" s="124"/>
      <c r="E538" s="124"/>
      <c r="F538" s="124"/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</row>
    <row r="539">
      <c r="A539" s="124"/>
      <c r="B539" s="124"/>
      <c r="C539" s="124"/>
      <c r="D539" s="124"/>
      <c r="E539" s="124"/>
      <c r="F539" s="124"/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</row>
    <row r="540">
      <c r="A540" s="124"/>
      <c r="B540" s="124"/>
      <c r="C540" s="124"/>
      <c r="D540" s="124"/>
      <c r="E540" s="124"/>
      <c r="F540" s="124"/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</row>
    <row r="541">
      <c r="A541" s="124"/>
      <c r="B541" s="124"/>
      <c r="C541" s="124"/>
      <c r="D541" s="124"/>
      <c r="E541" s="124"/>
      <c r="F541" s="124"/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</row>
    <row r="542">
      <c r="A542" s="124"/>
      <c r="B542" s="124"/>
      <c r="C542" s="124"/>
      <c r="D542" s="124"/>
      <c r="E542" s="124"/>
      <c r="F542" s="124"/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</row>
    <row r="543">
      <c r="A543" s="124"/>
      <c r="B543" s="124"/>
      <c r="C543" s="124"/>
      <c r="D543" s="124"/>
      <c r="E543" s="124"/>
      <c r="F543" s="124"/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</row>
    <row r="544">
      <c r="A544" s="124"/>
      <c r="B544" s="124"/>
      <c r="C544" s="124"/>
      <c r="D544" s="124"/>
      <c r="E544" s="124"/>
      <c r="F544" s="124"/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</row>
    <row r="545">
      <c r="A545" s="124"/>
      <c r="B545" s="124"/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</row>
    <row r="546">
      <c r="A546" s="124"/>
      <c r="B546" s="124"/>
      <c r="C546" s="124"/>
      <c r="D546" s="124"/>
      <c r="E546" s="124"/>
      <c r="F546" s="124"/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</row>
    <row r="547">
      <c r="A547" s="124"/>
      <c r="B547" s="124"/>
      <c r="C547" s="124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</row>
    <row r="548">
      <c r="A548" s="124"/>
      <c r="B548" s="124"/>
      <c r="C548" s="124"/>
      <c r="D548" s="124"/>
      <c r="E548" s="124"/>
      <c r="F548" s="124"/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</row>
    <row r="549">
      <c r="A549" s="124"/>
      <c r="B549" s="124"/>
      <c r="C549" s="124"/>
      <c r="D549" s="124"/>
      <c r="E549" s="124"/>
      <c r="F549" s="124"/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  <c r="R549" s="124"/>
      <c r="S549" s="124"/>
      <c r="T549" s="124"/>
      <c r="U549" s="124"/>
      <c r="V549" s="124"/>
      <c r="W549" s="124"/>
      <c r="X549" s="124"/>
      <c r="Y549" s="124"/>
      <c r="Z549" s="124"/>
    </row>
    <row r="550">
      <c r="A550" s="124"/>
      <c r="B550" s="124"/>
      <c r="C550" s="124"/>
      <c r="D550" s="124"/>
      <c r="E550" s="124"/>
      <c r="F550" s="124"/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</row>
    <row r="551">
      <c r="A551" s="124"/>
      <c r="B551" s="124"/>
      <c r="C551" s="124"/>
      <c r="D551" s="124"/>
      <c r="E551" s="124"/>
      <c r="F551" s="124"/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  <c r="R551" s="124"/>
      <c r="S551" s="124"/>
      <c r="T551" s="124"/>
      <c r="U551" s="124"/>
      <c r="V551" s="124"/>
      <c r="W551" s="124"/>
      <c r="X551" s="124"/>
      <c r="Y551" s="124"/>
      <c r="Z551" s="124"/>
    </row>
    <row r="552">
      <c r="A552" s="124"/>
      <c r="B552" s="124"/>
      <c r="C552" s="124"/>
      <c r="D552" s="124"/>
      <c r="E552" s="124"/>
      <c r="F552" s="124"/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  <c r="R552" s="124"/>
      <c r="S552" s="124"/>
      <c r="T552" s="124"/>
      <c r="U552" s="124"/>
      <c r="V552" s="124"/>
      <c r="W552" s="124"/>
      <c r="X552" s="124"/>
      <c r="Y552" s="124"/>
      <c r="Z552" s="124"/>
    </row>
    <row r="553">
      <c r="A553" s="124"/>
      <c r="B553" s="124"/>
      <c r="C553" s="124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</row>
    <row r="554">
      <c r="A554" s="124"/>
      <c r="B554" s="124"/>
      <c r="C554" s="124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</row>
    <row r="555">
      <c r="A555" s="124"/>
      <c r="B555" s="124"/>
      <c r="C555" s="124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  <c r="R555" s="124"/>
      <c r="S555" s="124"/>
      <c r="T555" s="124"/>
      <c r="U555" s="124"/>
      <c r="V555" s="124"/>
      <c r="W555" s="124"/>
      <c r="X555" s="124"/>
      <c r="Y555" s="124"/>
      <c r="Z555" s="124"/>
    </row>
    <row r="556">
      <c r="A556" s="124"/>
      <c r="B556" s="124"/>
      <c r="C556" s="124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</row>
    <row r="557">
      <c r="A557" s="124"/>
      <c r="B557" s="124"/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</row>
    <row r="558">
      <c r="A558" s="124"/>
      <c r="B558" s="124"/>
      <c r="C558" s="124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  <c r="R558" s="124"/>
      <c r="S558" s="124"/>
      <c r="T558" s="124"/>
      <c r="U558" s="124"/>
      <c r="V558" s="124"/>
      <c r="W558" s="124"/>
      <c r="X558" s="124"/>
      <c r="Y558" s="124"/>
      <c r="Z558" s="124"/>
    </row>
    <row r="559">
      <c r="A559" s="124"/>
      <c r="B559" s="124"/>
      <c r="C559" s="124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  <c r="R559" s="124"/>
      <c r="S559" s="124"/>
      <c r="T559" s="124"/>
      <c r="U559" s="124"/>
      <c r="V559" s="124"/>
      <c r="W559" s="124"/>
      <c r="X559" s="124"/>
      <c r="Y559" s="124"/>
      <c r="Z559" s="124"/>
    </row>
    <row r="560">
      <c r="A560" s="124"/>
      <c r="B560" s="124"/>
      <c r="C560" s="124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4"/>
      <c r="V560" s="124"/>
      <c r="W560" s="124"/>
      <c r="X560" s="124"/>
      <c r="Y560" s="124"/>
      <c r="Z560" s="124"/>
    </row>
    <row r="561">
      <c r="A561" s="124"/>
      <c r="B561" s="124"/>
      <c r="C561" s="124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</row>
    <row r="562">
      <c r="A562" s="124"/>
      <c r="B562" s="124"/>
      <c r="C562" s="124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4"/>
      <c r="V562" s="124"/>
      <c r="W562" s="124"/>
      <c r="X562" s="124"/>
      <c r="Y562" s="124"/>
      <c r="Z562" s="124"/>
    </row>
    <row r="563">
      <c r="A563" s="124"/>
      <c r="B563" s="124"/>
      <c r="C563" s="124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4"/>
      <c r="V563" s="124"/>
      <c r="W563" s="124"/>
      <c r="X563" s="124"/>
      <c r="Y563" s="124"/>
      <c r="Z563" s="124"/>
    </row>
    <row r="564">
      <c r="A564" s="124"/>
      <c r="B564" s="124"/>
      <c r="C564" s="124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4"/>
      <c r="V564" s="124"/>
      <c r="W564" s="124"/>
      <c r="X564" s="124"/>
      <c r="Y564" s="124"/>
      <c r="Z564" s="124"/>
    </row>
    <row r="565">
      <c r="A565" s="124"/>
      <c r="B565" s="124"/>
      <c r="C565" s="124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4"/>
      <c r="V565" s="124"/>
      <c r="W565" s="124"/>
      <c r="X565" s="124"/>
      <c r="Y565" s="124"/>
      <c r="Z565" s="124"/>
    </row>
    <row r="566">
      <c r="A566" s="124"/>
      <c r="B566" s="124"/>
      <c r="C566" s="124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</row>
    <row r="567">
      <c r="A567" s="124"/>
      <c r="B567" s="124"/>
      <c r="C567" s="124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4"/>
      <c r="V567" s="124"/>
      <c r="W567" s="124"/>
      <c r="X567" s="124"/>
      <c r="Y567" s="124"/>
      <c r="Z567" s="124"/>
    </row>
    <row r="568">
      <c r="A568" s="124"/>
      <c r="B568" s="124"/>
      <c r="C568" s="124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4"/>
      <c r="V568" s="124"/>
      <c r="W568" s="124"/>
      <c r="X568" s="124"/>
      <c r="Y568" s="124"/>
      <c r="Z568" s="124"/>
    </row>
    <row r="569">
      <c r="A569" s="124"/>
      <c r="B569" s="124"/>
      <c r="C569" s="124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4"/>
      <c r="V569" s="124"/>
      <c r="W569" s="124"/>
      <c r="X569" s="124"/>
      <c r="Y569" s="124"/>
      <c r="Z569" s="124"/>
    </row>
    <row r="570">
      <c r="A570" s="124"/>
      <c r="B570" s="124"/>
      <c r="C570" s="124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4"/>
      <c r="V570" s="124"/>
      <c r="W570" s="124"/>
      <c r="X570" s="124"/>
      <c r="Y570" s="124"/>
      <c r="Z570" s="124"/>
    </row>
    <row r="571">
      <c r="A571" s="124"/>
      <c r="B571" s="124"/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</row>
    <row r="572">
      <c r="A572" s="124"/>
      <c r="B572" s="124"/>
      <c r="C572" s="124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4"/>
      <c r="V572" s="124"/>
      <c r="W572" s="124"/>
      <c r="X572" s="124"/>
      <c r="Y572" s="124"/>
      <c r="Z572" s="124"/>
    </row>
    <row r="573">
      <c r="A573" s="124"/>
      <c r="B573" s="124"/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4"/>
      <c r="V573" s="124"/>
      <c r="W573" s="124"/>
      <c r="X573" s="124"/>
      <c r="Y573" s="124"/>
      <c r="Z573" s="124"/>
    </row>
    <row r="574">
      <c r="A574" s="124"/>
      <c r="B574" s="124"/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</row>
    <row r="575">
      <c r="A575" s="124"/>
      <c r="B575" s="124"/>
      <c r="C575" s="124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4"/>
      <c r="V575" s="124"/>
      <c r="W575" s="124"/>
      <c r="X575" s="124"/>
      <c r="Y575" s="124"/>
      <c r="Z575" s="124"/>
    </row>
    <row r="576">
      <c r="A576" s="124"/>
      <c r="B576" s="124"/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4"/>
      <c r="V576" s="124"/>
      <c r="W576" s="124"/>
      <c r="X576" s="124"/>
      <c r="Y576" s="124"/>
      <c r="Z576" s="124"/>
    </row>
    <row r="577">
      <c r="A577" s="124"/>
      <c r="B577" s="124"/>
      <c r="C577" s="124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4"/>
      <c r="V577" s="124"/>
      <c r="W577" s="124"/>
      <c r="X577" s="124"/>
      <c r="Y577" s="124"/>
      <c r="Z577" s="124"/>
    </row>
    <row r="578">
      <c r="A578" s="124"/>
      <c r="B578" s="124"/>
      <c r="C578" s="124"/>
      <c r="D578" s="124"/>
      <c r="E578" s="124"/>
      <c r="F578" s="124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4"/>
      <c r="V578" s="124"/>
      <c r="W578" s="124"/>
      <c r="X578" s="124"/>
      <c r="Y578" s="124"/>
      <c r="Z578" s="124"/>
    </row>
    <row r="579">
      <c r="A579" s="124"/>
      <c r="B579" s="124"/>
      <c r="C579" s="124"/>
      <c r="D579" s="124"/>
      <c r="E579" s="124"/>
      <c r="F579" s="124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</row>
    <row r="580">
      <c r="A580" s="124"/>
      <c r="B580" s="124"/>
      <c r="C580" s="124"/>
      <c r="D580" s="124"/>
      <c r="E580" s="124"/>
      <c r="F580" s="124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4"/>
      <c r="V580" s="124"/>
      <c r="W580" s="124"/>
      <c r="X580" s="124"/>
      <c r="Y580" s="124"/>
      <c r="Z580" s="124"/>
    </row>
    <row r="581">
      <c r="A581" s="124"/>
      <c r="B581" s="124"/>
      <c r="C581" s="124"/>
      <c r="D581" s="124"/>
      <c r="E581" s="124"/>
      <c r="F581" s="124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4"/>
      <c r="V581" s="124"/>
      <c r="W581" s="124"/>
      <c r="X581" s="124"/>
      <c r="Y581" s="124"/>
      <c r="Z581" s="124"/>
    </row>
    <row r="582">
      <c r="A582" s="124"/>
      <c r="B582" s="124"/>
      <c r="C582" s="124"/>
      <c r="D582" s="124"/>
      <c r="E582" s="124"/>
      <c r="F582" s="124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</row>
    <row r="583">
      <c r="A583" s="124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</row>
    <row r="584">
      <c r="A584" s="124"/>
      <c r="B584" s="124"/>
      <c r="C584" s="124"/>
      <c r="D584" s="124"/>
      <c r="E584" s="124"/>
      <c r="F584" s="124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</row>
    <row r="585">
      <c r="A585" s="124"/>
      <c r="B585" s="124"/>
      <c r="C585" s="124"/>
      <c r="D585" s="124"/>
      <c r="E585" s="124"/>
      <c r="F585" s="124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4"/>
      <c r="V585" s="124"/>
      <c r="W585" s="124"/>
      <c r="X585" s="124"/>
      <c r="Y585" s="124"/>
      <c r="Z585" s="124"/>
    </row>
    <row r="586">
      <c r="A586" s="124"/>
      <c r="B586" s="124"/>
      <c r="C586" s="124"/>
      <c r="D586" s="124"/>
      <c r="E586" s="124"/>
      <c r="F586" s="124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</row>
    <row r="587">
      <c r="A587" s="124"/>
      <c r="B587" s="124"/>
      <c r="C587" s="124"/>
      <c r="D587" s="124"/>
      <c r="E587" s="124"/>
      <c r="F587" s="124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4"/>
      <c r="V587" s="124"/>
      <c r="W587" s="124"/>
      <c r="X587" s="124"/>
      <c r="Y587" s="124"/>
      <c r="Z587" s="124"/>
    </row>
    <row r="588">
      <c r="A588" s="124"/>
      <c r="B588" s="124"/>
      <c r="C588" s="124"/>
      <c r="D588" s="124"/>
      <c r="E588" s="124"/>
      <c r="F588" s="124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4"/>
      <c r="V588" s="124"/>
      <c r="W588" s="124"/>
      <c r="X588" s="124"/>
      <c r="Y588" s="124"/>
      <c r="Z588" s="124"/>
    </row>
    <row r="589">
      <c r="A589" s="124"/>
      <c r="B589" s="124"/>
      <c r="C589" s="124"/>
      <c r="D589" s="124"/>
      <c r="E589" s="124"/>
      <c r="F589" s="124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</row>
    <row r="590">
      <c r="A590" s="124"/>
      <c r="B590" s="124"/>
      <c r="C590" s="124"/>
      <c r="D590" s="124"/>
      <c r="E590" s="124"/>
      <c r="F590" s="124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4"/>
      <c r="V590" s="124"/>
      <c r="W590" s="124"/>
      <c r="X590" s="124"/>
      <c r="Y590" s="124"/>
      <c r="Z590" s="124"/>
    </row>
    <row r="591">
      <c r="A591" s="124"/>
      <c r="B591" s="124"/>
      <c r="C591" s="124"/>
      <c r="D591" s="124"/>
      <c r="E591" s="124"/>
      <c r="F591" s="124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4"/>
      <c r="V591" s="124"/>
      <c r="W591" s="124"/>
      <c r="X591" s="124"/>
      <c r="Y591" s="124"/>
      <c r="Z591" s="124"/>
    </row>
    <row r="592">
      <c r="A592" s="124"/>
      <c r="B592" s="124"/>
      <c r="C592" s="124"/>
      <c r="D592" s="124"/>
      <c r="E592" s="124"/>
      <c r="F592" s="124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4"/>
      <c r="V592" s="124"/>
      <c r="W592" s="124"/>
      <c r="X592" s="124"/>
      <c r="Y592" s="124"/>
      <c r="Z592" s="124"/>
    </row>
    <row r="593">
      <c r="A593" s="124"/>
      <c r="B593" s="124"/>
      <c r="C593" s="124"/>
      <c r="D593" s="124"/>
      <c r="E593" s="124"/>
      <c r="F593" s="124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4"/>
      <c r="V593" s="124"/>
      <c r="W593" s="124"/>
      <c r="X593" s="124"/>
      <c r="Y593" s="124"/>
      <c r="Z593" s="124"/>
    </row>
    <row r="594">
      <c r="A594" s="124"/>
      <c r="B594" s="124"/>
      <c r="C594" s="124"/>
      <c r="D594" s="124"/>
      <c r="E594" s="124"/>
      <c r="F594" s="124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</row>
    <row r="595">
      <c r="A595" s="124"/>
      <c r="B595" s="124"/>
      <c r="C595" s="124"/>
      <c r="D595" s="124"/>
      <c r="E595" s="124"/>
      <c r="F595" s="124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4"/>
      <c r="V595" s="124"/>
      <c r="W595" s="124"/>
      <c r="X595" s="124"/>
      <c r="Y595" s="124"/>
      <c r="Z595" s="124"/>
    </row>
    <row r="596">
      <c r="A596" s="124"/>
      <c r="B596" s="124"/>
      <c r="C596" s="124"/>
      <c r="D596" s="124"/>
      <c r="E596" s="124"/>
      <c r="F596" s="124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4"/>
      <c r="V596" s="124"/>
      <c r="W596" s="124"/>
      <c r="X596" s="124"/>
      <c r="Y596" s="124"/>
      <c r="Z596" s="124"/>
    </row>
    <row r="597">
      <c r="A597" s="124"/>
      <c r="B597" s="124"/>
      <c r="C597" s="124"/>
      <c r="D597" s="124"/>
      <c r="E597" s="124"/>
      <c r="F597" s="124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4"/>
      <c r="V597" s="124"/>
      <c r="W597" s="124"/>
      <c r="X597" s="124"/>
      <c r="Y597" s="124"/>
      <c r="Z597" s="124"/>
    </row>
    <row r="598">
      <c r="A598" s="124"/>
      <c r="B598" s="124"/>
      <c r="C598" s="124"/>
      <c r="D598" s="124"/>
      <c r="E598" s="124"/>
      <c r="F598" s="124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</row>
    <row r="599">
      <c r="A599" s="124"/>
      <c r="B599" s="124"/>
      <c r="C599" s="124"/>
      <c r="D599" s="124"/>
      <c r="E599" s="124"/>
      <c r="F599" s="124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</row>
    <row r="600">
      <c r="A600" s="124"/>
      <c r="B600" s="124"/>
      <c r="C600" s="124"/>
      <c r="D600" s="124"/>
      <c r="E600" s="124"/>
      <c r="F600" s="124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4"/>
      <c r="V600" s="124"/>
      <c r="W600" s="124"/>
      <c r="X600" s="124"/>
      <c r="Y600" s="124"/>
      <c r="Z600" s="124"/>
    </row>
    <row r="601">
      <c r="A601" s="124"/>
      <c r="B601" s="124"/>
      <c r="C601" s="124"/>
      <c r="D601" s="124"/>
      <c r="E601" s="124"/>
      <c r="F601" s="124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4"/>
      <c r="V601" s="124"/>
      <c r="W601" s="124"/>
      <c r="X601" s="124"/>
      <c r="Y601" s="124"/>
      <c r="Z601" s="124"/>
    </row>
    <row r="602">
      <c r="A602" s="124"/>
      <c r="B602" s="124"/>
      <c r="C602" s="124"/>
      <c r="D602" s="124"/>
      <c r="E602" s="124"/>
      <c r="F602" s="124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</row>
    <row r="603">
      <c r="A603" s="124"/>
      <c r="B603" s="124"/>
      <c r="C603" s="124"/>
      <c r="D603" s="124"/>
      <c r="E603" s="124"/>
      <c r="F603" s="124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4"/>
      <c r="V603" s="124"/>
      <c r="W603" s="124"/>
      <c r="X603" s="124"/>
      <c r="Y603" s="124"/>
      <c r="Z603" s="124"/>
    </row>
    <row r="604">
      <c r="A604" s="124"/>
      <c r="B604" s="124"/>
      <c r="C604" s="124"/>
      <c r="D604" s="124"/>
      <c r="E604" s="124"/>
      <c r="F604" s="124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4"/>
      <c r="V604" s="124"/>
      <c r="W604" s="124"/>
      <c r="X604" s="124"/>
      <c r="Y604" s="124"/>
      <c r="Z604" s="124"/>
    </row>
    <row r="605">
      <c r="A605" s="124"/>
      <c r="B605" s="124"/>
      <c r="C605" s="124"/>
      <c r="D605" s="124"/>
      <c r="E605" s="124"/>
      <c r="F605" s="124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4"/>
      <c r="V605" s="124"/>
      <c r="W605" s="124"/>
      <c r="X605" s="124"/>
      <c r="Y605" s="124"/>
      <c r="Z605" s="124"/>
    </row>
    <row r="606">
      <c r="A606" s="124"/>
      <c r="B606" s="124"/>
      <c r="C606" s="124"/>
      <c r="D606" s="124"/>
      <c r="E606" s="124"/>
      <c r="F606" s="124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4"/>
      <c r="V606" s="124"/>
      <c r="W606" s="124"/>
      <c r="X606" s="124"/>
      <c r="Y606" s="124"/>
      <c r="Z606" s="124"/>
    </row>
    <row r="607">
      <c r="A607" s="124"/>
      <c r="B607" s="124"/>
      <c r="C607" s="124"/>
      <c r="D607" s="124"/>
      <c r="E607" s="124"/>
      <c r="F607" s="124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</row>
    <row r="608">
      <c r="A608" s="124"/>
      <c r="B608" s="124"/>
      <c r="C608" s="124"/>
      <c r="D608" s="124"/>
      <c r="E608" s="124"/>
      <c r="F608" s="124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4"/>
      <c r="V608" s="124"/>
      <c r="W608" s="124"/>
      <c r="X608" s="124"/>
      <c r="Y608" s="124"/>
      <c r="Z608" s="124"/>
    </row>
    <row r="609">
      <c r="A609" s="124"/>
      <c r="B609" s="124"/>
      <c r="C609" s="124"/>
      <c r="D609" s="124"/>
      <c r="E609" s="124"/>
      <c r="F609" s="124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</row>
    <row r="610">
      <c r="A610" s="124"/>
      <c r="B610" s="124"/>
      <c r="C610" s="124"/>
      <c r="D610" s="124"/>
      <c r="E610" s="124"/>
      <c r="F610" s="124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4"/>
      <c r="V610" s="124"/>
      <c r="W610" s="124"/>
      <c r="X610" s="124"/>
      <c r="Y610" s="124"/>
      <c r="Z610" s="124"/>
    </row>
    <row r="611">
      <c r="A611" s="124"/>
      <c r="B611" s="124"/>
      <c r="C611" s="124"/>
      <c r="D611" s="124"/>
      <c r="E611" s="124"/>
      <c r="F611" s="124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</row>
    <row r="612">
      <c r="A612" s="124"/>
      <c r="B612" s="124"/>
      <c r="C612" s="124"/>
      <c r="D612" s="124"/>
      <c r="E612" s="124"/>
      <c r="F612" s="124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</row>
    <row r="613">
      <c r="A613" s="124"/>
      <c r="B613" s="124"/>
      <c r="C613" s="124"/>
      <c r="D613" s="124"/>
      <c r="E613" s="124"/>
      <c r="F613" s="124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4"/>
      <c r="V613" s="124"/>
      <c r="W613" s="124"/>
      <c r="X613" s="124"/>
      <c r="Y613" s="124"/>
      <c r="Z613" s="124"/>
    </row>
    <row r="614">
      <c r="A614" s="124"/>
      <c r="B614" s="124"/>
      <c r="C614" s="124"/>
      <c r="D614" s="124"/>
      <c r="E614" s="124"/>
      <c r="F614" s="124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</row>
    <row r="615">
      <c r="A615" s="124"/>
      <c r="B615" s="124"/>
      <c r="C615" s="124"/>
      <c r="D615" s="124"/>
      <c r="E615" s="124"/>
      <c r="F615" s="124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4"/>
      <c r="V615" s="124"/>
      <c r="W615" s="124"/>
      <c r="X615" s="124"/>
      <c r="Y615" s="124"/>
      <c r="Z615" s="124"/>
    </row>
    <row r="616">
      <c r="A616" s="124"/>
      <c r="B616" s="124"/>
      <c r="C616" s="124"/>
      <c r="D616" s="124"/>
      <c r="E616" s="124"/>
      <c r="F616" s="124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</row>
    <row r="617">
      <c r="A617" s="124"/>
      <c r="B617" s="124"/>
      <c r="C617" s="124"/>
      <c r="D617" s="124"/>
      <c r="E617" s="124"/>
      <c r="F617" s="124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4"/>
      <c r="V617" s="124"/>
      <c r="W617" s="124"/>
      <c r="X617" s="124"/>
      <c r="Y617" s="124"/>
      <c r="Z617" s="124"/>
    </row>
    <row r="618">
      <c r="A618" s="124"/>
      <c r="B618" s="124"/>
      <c r="C618" s="124"/>
      <c r="D618" s="124"/>
      <c r="E618" s="124"/>
      <c r="F618" s="124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4"/>
      <c r="V618" s="124"/>
      <c r="W618" s="124"/>
      <c r="X618" s="124"/>
      <c r="Y618" s="124"/>
      <c r="Z618" s="124"/>
    </row>
    <row r="619">
      <c r="A619" s="124"/>
      <c r="B619" s="124"/>
      <c r="C619" s="124"/>
      <c r="D619" s="124"/>
      <c r="E619" s="124"/>
      <c r="F619" s="124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4"/>
      <c r="V619" s="124"/>
      <c r="W619" s="124"/>
      <c r="X619" s="124"/>
      <c r="Y619" s="124"/>
      <c r="Z619" s="124"/>
    </row>
    <row r="620">
      <c r="A620" s="124"/>
      <c r="B620" s="124"/>
      <c r="C620" s="124"/>
      <c r="D620" s="124"/>
      <c r="E620" s="124"/>
      <c r="F620" s="124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</row>
    <row r="621">
      <c r="A621" s="124"/>
      <c r="B621" s="124"/>
      <c r="C621" s="124"/>
      <c r="D621" s="124"/>
      <c r="E621" s="124"/>
      <c r="F621" s="124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4"/>
      <c r="V621" s="124"/>
      <c r="W621" s="124"/>
      <c r="X621" s="124"/>
      <c r="Y621" s="124"/>
      <c r="Z621" s="124"/>
    </row>
    <row r="622">
      <c r="A622" s="124"/>
      <c r="B622" s="124"/>
      <c r="C622" s="124"/>
      <c r="D622" s="124"/>
      <c r="E622" s="124"/>
      <c r="F622" s="124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4"/>
      <c r="V622" s="124"/>
      <c r="W622" s="124"/>
      <c r="X622" s="124"/>
      <c r="Y622" s="124"/>
      <c r="Z622" s="124"/>
    </row>
    <row r="623">
      <c r="A623" s="124"/>
      <c r="B623" s="124"/>
      <c r="C623" s="124"/>
      <c r="D623" s="124"/>
      <c r="E623" s="124"/>
      <c r="F623" s="124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4"/>
      <c r="V623" s="124"/>
      <c r="W623" s="124"/>
      <c r="X623" s="124"/>
      <c r="Y623" s="124"/>
      <c r="Z623" s="124"/>
    </row>
    <row r="624">
      <c r="A624" s="124"/>
      <c r="B624" s="124"/>
      <c r="C624" s="124"/>
      <c r="D624" s="124"/>
      <c r="E624" s="124"/>
      <c r="F624" s="124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</row>
    <row r="625">
      <c r="A625" s="124"/>
      <c r="B625" s="124"/>
      <c r="C625" s="124"/>
      <c r="D625" s="124"/>
      <c r="E625" s="124"/>
      <c r="F625" s="124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</row>
    <row r="626">
      <c r="A626" s="124"/>
      <c r="B626" s="124"/>
      <c r="C626" s="124"/>
      <c r="D626" s="124"/>
      <c r="E626" s="124"/>
      <c r="F626" s="124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4"/>
      <c r="V626" s="124"/>
      <c r="W626" s="124"/>
      <c r="X626" s="124"/>
      <c r="Y626" s="124"/>
      <c r="Z626" s="124"/>
    </row>
    <row r="627">
      <c r="A627" s="124"/>
      <c r="B627" s="124"/>
      <c r="C627" s="124"/>
      <c r="D627" s="124"/>
      <c r="E627" s="124"/>
      <c r="F627" s="124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</row>
    <row r="628">
      <c r="A628" s="124"/>
      <c r="B628" s="124"/>
      <c r="C628" s="124"/>
      <c r="D628" s="124"/>
      <c r="E628" s="124"/>
      <c r="F628" s="124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4"/>
      <c r="V628" s="124"/>
      <c r="W628" s="124"/>
      <c r="X628" s="124"/>
      <c r="Y628" s="124"/>
      <c r="Z628" s="124"/>
    </row>
    <row r="629">
      <c r="A629" s="124"/>
      <c r="B629" s="124"/>
      <c r="C629" s="124"/>
      <c r="D629" s="124"/>
      <c r="E629" s="124"/>
      <c r="F629" s="124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4"/>
      <c r="V629" s="124"/>
      <c r="W629" s="124"/>
      <c r="X629" s="124"/>
      <c r="Y629" s="124"/>
      <c r="Z629" s="124"/>
    </row>
    <row r="630">
      <c r="A630" s="124"/>
      <c r="B630" s="124"/>
      <c r="C630" s="124"/>
      <c r="D630" s="124"/>
      <c r="E630" s="124"/>
      <c r="F630" s="124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</row>
    <row r="631">
      <c r="A631" s="124"/>
      <c r="B631" s="124"/>
      <c r="C631" s="124"/>
      <c r="D631" s="124"/>
      <c r="E631" s="124"/>
      <c r="F631" s="124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</row>
    <row r="632">
      <c r="A632" s="124"/>
      <c r="B632" s="124"/>
      <c r="C632" s="124"/>
      <c r="D632" s="124"/>
      <c r="E632" s="124"/>
      <c r="F632" s="124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4"/>
      <c r="V632" s="124"/>
      <c r="W632" s="124"/>
      <c r="X632" s="124"/>
      <c r="Y632" s="124"/>
      <c r="Z632" s="124"/>
    </row>
    <row r="633">
      <c r="A633" s="124"/>
      <c r="B633" s="124"/>
      <c r="C633" s="124"/>
      <c r="D633" s="124"/>
      <c r="E633" s="124"/>
      <c r="F633" s="124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4"/>
      <c r="V633" s="124"/>
      <c r="W633" s="124"/>
      <c r="X633" s="124"/>
      <c r="Y633" s="124"/>
      <c r="Z633" s="124"/>
    </row>
    <row r="634">
      <c r="A634" s="124"/>
      <c r="B634" s="124"/>
      <c r="C634" s="124"/>
      <c r="D634" s="124"/>
      <c r="E634" s="124"/>
      <c r="F634" s="124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4"/>
      <c r="V634" s="124"/>
      <c r="W634" s="124"/>
      <c r="X634" s="124"/>
      <c r="Y634" s="124"/>
      <c r="Z634" s="124"/>
    </row>
    <row r="635">
      <c r="A635" s="124"/>
      <c r="B635" s="124"/>
      <c r="C635" s="124"/>
      <c r="D635" s="124"/>
      <c r="E635" s="124"/>
      <c r="F635" s="124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4"/>
      <c r="V635" s="124"/>
      <c r="W635" s="124"/>
      <c r="X635" s="124"/>
      <c r="Y635" s="124"/>
      <c r="Z635" s="124"/>
    </row>
    <row r="636">
      <c r="A636" s="124"/>
      <c r="B636" s="124"/>
      <c r="C636" s="124"/>
      <c r="D636" s="124"/>
      <c r="E636" s="124"/>
      <c r="F636" s="124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</row>
    <row r="637">
      <c r="A637" s="124"/>
      <c r="B637" s="124"/>
      <c r="C637" s="124"/>
      <c r="D637" s="124"/>
      <c r="E637" s="124"/>
      <c r="F637" s="124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4"/>
      <c r="V637" s="124"/>
      <c r="W637" s="124"/>
      <c r="X637" s="124"/>
      <c r="Y637" s="124"/>
      <c r="Z637" s="124"/>
    </row>
    <row r="638">
      <c r="A638" s="124"/>
      <c r="B638" s="124"/>
      <c r="C638" s="124"/>
      <c r="D638" s="124"/>
      <c r="E638" s="124"/>
      <c r="F638" s="124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4"/>
      <c r="V638" s="124"/>
      <c r="W638" s="124"/>
      <c r="X638" s="124"/>
      <c r="Y638" s="124"/>
      <c r="Z638" s="124"/>
    </row>
    <row r="639">
      <c r="A639" s="124"/>
      <c r="B639" s="124"/>
      <c r="C639" s="124"/>
      <c r="D639" s="124"/>
      <c r="E639" s="124"/>
      <c r="F639" s="124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4"/>
      <c r="V639" s="124"/>
      <c r="W639" s="124"/>
      <c r="X639" s="124"/>
      <c r="Y639" s="124"/>
      <c r="Z639" s="124"/>
    </row>
    <row r="640">
      <c r="A640" s="124"/>
      <c r="B640" s="124"/>
      <c r="C640" s="124"/>
      <c r="D640" s="124"/>
      <c r="E640" s="124"/>
      <c r="F640" s="124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4"/>
      <c r="V640" s="124"/>
      <c r="W640" s="124"/>
      <c r="X640" s="124"/>
      <c r="Y640" s="124"/>
      <c r="Z640" s="124"/>
    </row>
    <row r="641">
      <c r="A641" s="124"/>
      <c r="B641" s="124"/>
      <c r="C641" s="124"/>
      <c r="D641" s="124"/>
      <c r="E641" s="124"/>
      <c r="F641" s="124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</row>
    <row r="642">
      <c r="A642" s="124"/>
      <c r="B642" s="124"/>
      <c r="C642" s="124"/>
      <c r="D642" s="124"/>
      <c r="E642" s="124"/>
      <c r="F642" s="124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</row>
    <row r="643">
      <c r="A643" s="124"/>
      <c r="B643" s="124"/>
      <c r="C643" s="124"/>
      <c r="D643" s="124"/>
      <c r="E643" s="124"/>
      <c r="F643" s="124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4"/>
      <c r="V643" s="124"/>
      <c r="W643" s="124"/>
      <c r="X643" s="124"/>
      <c r="Y643" s="124"/>
      <c r="Z643" s="124"/>
    </row>
    <row r="644">
      <c r="A644" s="124"/>
      <c r="B644" s="124"/>
      <c r="C644" s="124"/>
      <c r="D644" s="124"/>
      <c r="E644" s="124"/>
      <c r="F644" s="124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4"/>
      <c r="V644" s="124"/>
      <c r="W644" s="124"/>
      <c r="X644" s="124"/>
      <c r="Y644" s="124"/>
      <c r="Z644" s="124"/>
    </row>
    <row r="645">
      <c r="A645" s="124"/>
      <c r="B645" s="124"/>
      <c r="C645" s="124"/>
      <c r="D645" s="124"/>
      <c r="E645" s="124"/>
      <c r="F645" s="124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4"/>
      <c r="V645" s="124"/>
      <c r="W645" s="124"/>
      <c r="X645" s="124"/>
      <c r="Y645" s="124"/>
      <c r="Z645" s="124"/>
    </row>
    <row r="646">
      <c r="A646" s="124"/>
      <c r="B646" s="124"/>
      <c r="C646" s="124"/>
      <c r="D646" s="124"/>
      <c r="E646" s="124"/>
      <c r="F646" s="124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</row>
    <row r="647">
      <c r="A647" s="124"/>
      <c r="B647" s="124"/>
      <c r="C647" s="124"/>
      <c r="D647" s="124"/>
      <c r="E647" s="124"/>
      <c r="F647" s="124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4"/>
      <c r="V647" s="124"/>
      <c r="W647" s="124"/>
      <c r="X647" s="124"/>
      <c r="Y647" s="124"/>
      <c r="Z647" s="124"/>
    </row>
    <row r="648">
      <c r="A648" s="124"/>
      <c r="B648" s="124"/>
      <c r="C648" s="124"/>
      <c r="D648" s="124"/>
      <c r="E648" s="124"/>
      <c r="F648" s="124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</row>
    <row r="649">
      <c r="A649" s="124"/>
      <c r="B649" s="124"/>
      <c r="C649" s="124"/>
      <c r="D649" s="124"/>
      <c r="E649" s="124"/>
      <c r="F649" s="124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124"/>
      <c r="Y649" s="124"/>
      <c r="Z649" s="124"/>
    </row>
    <row r="650">
      <c r="A650" s="124"/>
      <c r="B650" s="124"/>
      <c r="C650" s="124"/>
      <c r="D650" s="124"/>
      <c r="E650" s="124"/>
      <c r="F650" s="124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  <c r="Y650" s="124"/>
      <c r="Z650" s="124"/>
    </row>
    <row r="651">
      <c r="A651" s="124"/>
      <c r="B651" s="124"/>
      <c r="C651" s="124"/>
      <c r="D651" s="124"/>
      <c r="E651" s="124"/>
      <c r="F651" s="124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4"/>
      <c r="V651" s="124"/>
      <c r="W651" s="124"/>
      <c r="X651" s="124"/>
      <c r="Y651" s="124"/>
      <c r="Z651" s="124"/>
    </row>
    <row r="652">
      <c r="A652" s="124"/>
      <c r="B652" s="124"/>
      <c r="C652" s="124"/>
      <c r="D652" s="124"/>
      <c r="E652" s="124"/>
      <c r="F652" s="124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4"/>
      <c r="V652" s="124"/>
      <c r="W652" s="124"/>
      <c r="X652" s="124"/>
      <c r="Y652" s="124"/>
      <c r="Z652" s="124"/>
    </row>
    <row r="653">
      <c r="A653" s="124"/>
      <c r="B653" s="124"/>
      <c r="C653" s="124"/>
      <c r="D653" s="124"/>
      <c r="E653" s="124"/>
      <c r="F653" s="124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4"/>
      <c r="V653" s="124"/>
      <c r="W653" s="124"/>
      <c r="X653" s="124"/>
      <c r="Y653" s="124"/>
      <c r="Z653" s="124"/>
    </row>
    <row r="654">
      <c r="A654" s="124"/>
      <c r="B654" s="124"/>
      <c r="C654" s="124"/>
      <c r="D654" s="124"/>
      <c r="E654" s="124"/>
      <c r="F654" s="124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</row>
    <row r="655">
      <c r="A655" s="124"/>
      <c r="B655" s="124"/>
      <c r="C655" s="124"/>
      <c r="D655" s="124"/>
      <c r="E655" s="124"/>
      <c r="F655" s="124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4"/>
      <c r="V655" s="124"/>
      <c r="W655" s="124"/>
      <c r="X655" s="124"/>
      <c r="Y655" s="124"/>
      <c r="Z655" s="124"/>
    </row>
    <row r="656">
      <c r="A656" s="124"/>
      <c r="B656" s="124"/>
      <c r="C656" s="124"/>
      <c r="D656" s="124"/>
      <c r="E656" s="124"/>
      <c r="F656" s="124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4"/>
      <c r="V656" s="124"/>
      <c r="W656" s="124"/>
      <c r="X656" s="124"/>
      <c r="Y656" s="124"/>
      <c r="Z656" s="124"/>
    </row>
    <row r="657">
      <c r="A657" s="124"/>
      <c r="B657" s="124"/>
      <c r="C657" s="124"/>
      <c r="D657" s="124"/>
      <c r="E657" s="124"/>
      <c r="F657" s="124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</row>
    <row r="658">
      <c r="A658" s="124"/>
      <c r="B658" s="124"/>
      <c r="C658" s="124"/>
      <c r="D658" s="124"/>
      <c r="E658" s="124"/>
      <c r="F658" s="124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4"/>
      <c r="V658" s="124"/>
      <c r="W658" s="124"/>
      <c r="X658" s="124"/>
      <c r="Y658" s="124"/>
      <c r="Z658" s="124"/>
    </row>
    <row r="659">
      <c r="A659" s="124"/>
      <c r="B659" s="124"/>
      <c r="C659" s="124"/>
      <c r="D659" s="124"/>
      <c r="E659" s="124"/>
      <c r="F659" s="124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4"/>
      <c r="V659" s="124"/>
      <c r="W659" s="124"/>
      <c r="X659" s="124"/>
      <c r="Y659" s="124"/>
      <c r="Z659" s="124"/>
    </row>
    <row r="660">
      <c r="A660" s="124"/>
      <c r="B660" s="124"/>
      <c r="C660" s="124"/>
      <c r="D660" s="124"/>
      <c r="E660" s="124"/>
      <c r="F660" s="124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4"/>
      <c r="V660" s="124"/>
      <c r="W660" s="124"/>
      <c r="X660" s="124"/>
      <c r="Y660" s="124"/>
      <c r="Z660" s="124"/>
    </row>
    <row r="661">
      <c r="A661" s="124"/>
      <c r="B661" s="124"/>
      <c r="C661" s="124"/>
      <c r="D661" s="124"/>
      <c r="E661" s="124"/>
      <c r="F661" s="124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Z661" s="124"/>
    </row>
    <row r="662">
      <c r="A662" s="124"/>
      <c r="B662" s="124"/>
      <c r="C662" s="124"/>
      <c r="D662" s="124"/>
      <c r="E662" s="124"/>
      <c r="F662" s="124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4"/>
      <c r="V662" s="124"/>
      <c r="W662" s="124"/>
      <c r="X662" s="124"/>
      <c r="Y662" s="124"/>
      <c r="Z662" s="124"/>
    </row>
    <row r="663">
      <c r="A663" s="124"/>
      <c r="B663" s="124"/>
      <c r="C663" s="124"/>
      <c r="D663" s="124"/>
      <c r="E663" s="124"/>
      <c r="F663" s="124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4"/>
      <c r="V663" s="124"/>
      <c r="W663" s="124"/>
      <c r="X663" s="124"/>
      <c r="Y663" s="124"/>
      <c r="Z663" s="124"/>
    </row>
    <row r="664">
      <c r="A664" s="124"/>
      <c r="B664" s="124"/>
      <c r="C664" s="124"/>
      <c r="D664" s="124"/>
      <c r="E664" s="124"/>
      <c r="F664" s="124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4"/>
      <c r="V664" s="124"/>
      <c r="W664" s="124"/>
      <c r="X664" s="124"/>
      <c r="Y664" s="124"/>
      <c r="Z664" s="124"/>
    </row>
    <row r="665">
      <c r="A665" s="124"/>
      <c r="B665" s="124"/>
      <c r="C665" s="124"/>
      <c r="D665" s="124"/>
      <c r="E665" s="124"/>
      <c r="F665" s="124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</row>
    <row r="666">
      <c r="A666" s="124"/>
      <c r="B666" s="124"/>
      <c r="C666" s="124"/>
      <c r="D666" s="124"/>
      <c r="E666" s="124"/>
      <c r="F666" s="124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4"/>
      <c r="V666" s="124"/>
      <c r="W666" s="124"/>
      <c r="X666" s="124"/>
      <c r="Y666" s="124"/>
      <c r="Z666" s="124"/>
    </row>
    <row r="667">
      <c r="A667" s="124"/>
      <c r="B667" s="124"/>
      <c r="C667" s="124"/>
      <c r="D667" s="124"/>
      <c r="E667" s="124"/>
      <c r="F667" s="124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4"/>
      <c r="V667" s="124"/>
      <c r="W667" s="124"/>
      <c r="X667" s="124"/>
      <c r="Y667" s="124"/>
      <c r="Z667" s="124"/>
    </row>
    <row r="668">
      <c r="A668" s="124"/>
      <c r="B668" s="124"/>
      <c r="C668" s="124"/>
      <c r="D668" s="124"/>
      <c r="E668" s="124"/>
      <c r="F668" s="124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4"/>
      <c r="V668" s="124"/>
      <c r="W668" s="124"/>
      <c r="X668" s="124"/>
      <c r="Y668" s="124"/>
      <c r="Z668" s="124"/>
    </row>
    <row r="669">
      <c r="A669" s="124"/>
      <c r="B669" s="124"/>
      <c r="C669" s="124"/>
      <c r="D669" s="124"/>
      <c r="E669" s="124"/>
      <c r="F669" s="124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4"/>
      <c r="V669" s="124"/>
      <c r="W669" s="124"/>
      <c r="X669" s="124"/>
      <c r="Y669" s="124"/>
      <c r="Z669" s="124"/>
    </row>
    <row r="670">
      <c r="A670" s="124"/>
      <c r="B670" s="124"/>
      <c r="C670" s="124"/>
      <c r="D670" s="124"/>
      <c r="E670" s="124"/>
      <c r="F670" s="124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</row>
    <row r="671">
      <c r="A671" s="124"/>
      <c r="B671" s="124"/>
      <c r="C671" s="124"/>
      <c r="D671" s="124"/>
      <c r="E671" s="124"/>
      <c r="F671" s="124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4"/>
      <c r="V671" s="124"/>
      <c r="W671" s="124"/>
      <c r="X671" s="124"/>
      <c r="Y671" s="124"/>
      <c r="Z671" s="124"/>
    </row>
    <row r="672">
      <c r="A672" s="124"/>
      <c r="B672" s="124"/>
      <c r="C672" s="124"/>
      <c r="D672" s="124"/>
      <c r="E672" s="124"/>
      <c r="F672" s="124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4"/>
      <c r="V672" s="124"/>
      <c r="W672" s="124"/>
      <c r="X672" s="124"/>
      <c r="Y672" s="124"/>
      <c r="Z672" s="124"/>
    </row>
    <row r="673">
      <c r="A673" s="124"/>
      <c r="B673" s="124"/>
      <c r="C673" s="124"/>
      <c r="D673" s="124"/>
      <c r="E673" s="124"/>
      <c r="F673" s="124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4"/>
      <c r="V673" s="124"/>
      <c r="W673" s="124"/>
      <c r="X673" s="124"/>
      <c r="Y673" s="124"/>
      <c r="Z673" s="124"/>
    </row>
    <row r="674">
      <c r="A674" s="124"/>
      <c r="B674" s="124"/>
      <c r="C674" s="124"/>
      <c r="D674" s="124"/>
      <c r="E674" s="124"/>
      <c r="F674" s="124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4"/>
      <c r="V674" s="124"/>
      <c r="W674" s="124"/>
      <c r="X674" s="124"/>
      <c r="Y674" s="124"/>
      <c r="Z674" s="124"/>
    </row>
    <row r="675">
      <c r="A675" s="124"/>
      <c r="B675" s="124"/>
      <c r="C675" s="124"/>
      <c r="D675" s="124"/>
      <c r="E675" s="124"/>
      <c r="F675" s="124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4"/>
      <c r="V675" s="124"/>
      <c r="W675" s="124"/>
      <c r="X675" s="124"/>
      <c r="Y675" s="124"/>
      <c r="Z675" s="124"/>
    </row>
    <row r="676">
      <c r="A676" s="124"/>
      <c r="B676" s="124"/>
      <c r="C676" s="124"/>
      <c r="D676" s="124"/>
      <c r="E676" s="124"/>
      <c r="F676" s="124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</row>
    <row r="677">
      <c r="A677" s="124"/>
      <c r="B677" s="124"/>
      <c r="C677" s="124"/>
      <c r="D677" s="124"/>
      <c r="E677" s="124"/>
      <c r="F677" s="124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</row>
    <row r="678">
      <c r="A678" s="124"/>
      <c r="B678" s="124"/>
      <c r="C678" s="124"/>
      <c r="D678" s="124"/>
      <c r="E678" s="124"/>
      <c r="F678" s="124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</row>
    <row r="679">
      <c r="A679" s="124"/>
      <c r="B679" s="124"/>
      <c r="C679" s="124"/>
      <c r="D679" s="124"/>
      <c r="E679" s="124"/>
      <c r="F679" s="124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4"/>
      <c r="V679" s="124"/>
      <c r="W679" s="124"/>
      <c r="X679" s="124"/>
      <c r="Y679" s="124"/>
      <c r="Z679" s="124"/>
    </row>
    <row r="680">
      <c r="A680" s="124"/>
      <c r="B680" s="124"/>
      <c r="C680" s="124"/>
      <c r="D680" s="124"/>
      <c r="E680" s="124"/>
      <c r="F680" s="124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</row>
    <row r="681">
      <c r="A681" s="124"/>
      <c r="B681" s="124"/>
      <c r="C681" s="124"/>
      <c r="D681" s="124"/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</row>
    <row r="682">
      <c r="A682" s="124"/>
      <c r="B682" s="124"/>
      <c r="C682" s="124"/>
      <c r="D682" s="124"/>
      <c r="E682" s="124"/>
      <c r="F682" s="124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4"/>
      <c r="V682" s="124"/>
      <c r="W682" s="124"/>
      <c r="X682" s="124"/>
      <c r="Y682" s="124"/>
      <c r="Z682" s="124"/>
    </row>
    <row r="683">
      <c r="A683" s="124"/>
      <c r="B683" s="124"/>
      <c r="C683" s="124"/>
      <c r="D683" s="124"/>
      <c r="E683" s="124"/>
      <c r="F683" s="124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</row>
    <row r="684">
      <c r="A684" s="124"/>
      <c r="B684" s="124"/>
      <c r="C684" s="124"/>
      <c r="D684" s="124"/>
      <c r="E684" s="124"/>
      <c r="F684" s="124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4"/>
      <c r="V684" s="124"/>
      <c r="W684" s="124"/>
      <c r="X684" s="124"/>
      <c r="Y684" s="124"/>
      <c r="Z684" s="124"/>
    </row>
    <row r="685">
      <c r="A685" s="124"/>
      <c r="B685" s="124"/>
      <c r="C685" s="124"/>
      <c r="D685" s="124"/>
      <c r="E685" s="124"/>
      <c r="F685" s="124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</row>
    <row r="686">
      <c r="A686" s="124"/>
      <c r="B686" s="124"/>
      <c r="C686" s="124"/>
      <c r="D686" s="124"/>
      <c r="E686" s="124"/>
      <c r="F686" s="124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4"/>
      <c r="V686" s="124"/>
      <c r="W686" s="124"/>
      <c r="X686" s="124"/>
      <c r="Y686" s="124"/>
      <c r="Z686" s="124"/>
    </row>
    <row r="687">
      <c r="A687" s="124"/>
      <c r="B687" s="124"/>
      <c r="C687" s="124"/>
      <c r="D687" s="124"/>
      <c r="E687" s="124"/>
      <c r="F687" s="124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</row>
    <row r="688">
      <c r="A688" s="124"/>
      <c r="B688" s="124"/>
      <c r="C688" s="124"/>
      <c r="D688" s="124"/>
      <c r="E688" s="124"/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</row>
    <row r="689">
      <c r="A689" s="124"/>
      <c r="B689" s="124"/>
      <c r="C689" s="124"/>
      <c r="D689" s="124"/>
      <c r="E689" s="124"/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</row>
    <row r="690">
      <c r="A690" s="124"/>
      <c r="B690" s="124"/>
      <c r="C690" s="124"/>
      <c r="D690" s="124"/>
      <c r="E690" s="124"/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</row>
    <row r="691">
      <c r="A691" s="124"/>
      <c r="B691" s="124"/>
      <c r="C691" s="124"/>
      <c r="D691" s="124"/>
      <c r="E691" s="124"/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</row>
    <row r="692">
      <c r="A692" s="124"/>
      <c r="B692" s="124"/>
      <c r="C692" s="124"/>
      <c r="D692" s="124"/>
      <c r="E692" s="124"/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</row>
    <row r="693">
      <c r="A693" s="124"/>
      <c r="B693" s="124"/>
      <c r="C693" s="124"/>
      <c r="D693" s="124"/>
      <c r="E693" s="124"/>
      <c r="F693" s="124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4"/>
      <c r="V693" s="124"/>
      <c r="W693" s="124"/>
      <c r="X693" s="124"/>
      <c r="Y693" s="124"/>
      <c r="Z693" s="124"/>
    </row>
    <row r="694">
      <c r="A694" s="124"/>
      <c r="B694" s="124"/>
      <c r="C694" s="124"/>
      <c r="D694" s="124"/>
      <c r="E694" s="124"/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</row>
    <row r="695">
      <c r="A695" s="124"/>
      <c r="B695" s="124"/>
      <c r="C695" s="124"/>
      <c r="D695" s="124"/>
      <c r="E695" s="124"/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</row>
    <row r="696">
      <c r="A696" s="124"/>
      <c r="B696" s="124"/>
      <c r="C696" s="124"/>
      <c r="D696" s="124"/>
      <c r="E696" s="124"/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</row>
    <row r="697">
      <c r="A697" s="124"/>
      <c r="B697" s="124"/>
      <c r="C697" s="124"/>
      <c r="D697" s="124"/>
      <c r="E697" s="124"/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</row>
    <row r="698">
      <c r="A698" s="124"/>
      <c r="B698" s="124"/>
      <c r="C698" s="124"/>
      <c r="D698" s="124"/>
      <c r="E698" s="124"/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</row>
    <row r="699">
      <c r="A699" s="124"/>
      <c r="B699" s="124"/>
      <c r="C699" s="124"/>
      <c r="D699" s="124"/>
      <c r="E699" s="124"/>
      <c r="F699" s="124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4"/>
      <c r="V699" s="124"/>
      <c r="W699" s="124"/>
      <c r="X699" s="124"/>
      <c r="Y699" s="124"/>
      <c r="Z699" s="124"/>
    </row>
    <row r="700">
      <c r="A700" s="124"/>
      <c r="B700" s="124"/>
      <c r="C700" s="124"/>
      <c r="D700" s="124"/>
      <c r="E700" s="124"/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</row>
    <row r="701">
      <c r="A701" s="124"/>
      <c r="B701" s="124"/>
      <c r="C701" s="124"/>
      <c r="D701" s="124"/>
      <c r="E701" s="124"/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</row>
    <row r="702">
      <c r="A702" s="124"/>
      <c r="B702" s="124"/>
      <c r="C702" s="124"/>
      <c r="D702" s="124"/>
      <c r="E702" s="124"/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</row>
    <row r="703">
      <c r="A703" s="124"/>
      <c r="B703" s="124"/>
      <c r="C703" s="124"/>
      <c r="D703" s="124"/>
      <c r="E703" s="124"/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</row>
    <row r="704">
      <c r="A704" s="124"/>
      <c r="B704" s="124"/>
      <c r="C704" s="124"/>
      <c r="D704" s="124"/>
      <c r="E704" s="124"/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</row>
    <row r="705">
      <c r="A705" s="124"/>
      <c r="B705" s="124"/>
      <c r="C705" s="124"/>
      <c r="D705" s="124"/>
      <c r="E705" s="124"/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</row>
    <row r="706">
      <c r="A706" s="124"/>
      <c r="B706" s="124"/>
      <c r="C706" s="124"/>
      <c r="D706" s="124"/>
      <c r="E706" s="124"/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</row>
    <row r="707">
      <c r="A707" s="124"/>
      <c r="B707" s="124"/>
      <c r="C707" s="124"/>
      <c r="D707" s="124"/>
      <c r="E707" s="124"/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</row>
    <row r="708">
      <c r="A708" s="124"/>
      <c r="B708" s="124"/>
      <c r="C708" s="124"/>
      <c r="D708" s="124"/>
      <c r="E708" s="124"/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</row>
    <row r="709">
      <c r="A709" s="124"/>
      <c r="B709" s="124"/>
      <c r="C709" s="124"/>
      <c r="D709" s="124"/>
      <c r="E709" s="124"/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</row>
    <row r="710">
      <c r="A710" s="124"/>
      <c r="B710" s="124"/>
      <c r="C710" s="124"/>
      <c r="D710" s="124"/>
      <c r="E710" s="124"/>
      <c r="F710" s="124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4"/>
      <c r="V710" s="124"/>
      <c r="W710" s="124"/>
      <c r="X710" s="124"/>
      <c r="Y710" s="124"/>
      <c r="Z710" s="124"/>
    </row>
    <row r="711">
      <c r="A711" s="124"/>
      <c r="B711" s="124"/>
      <c r="C711" s="124"/>
      <c r="D711" s="124"/>
      <c r="E711" s="124"/>
      <c r="F711" s="124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4"/>
      <c r="V711" s="124"/>
      <c r="W711" s="124"/>
      <c r="X711" s="124"/>
      <c r="Y711" s="124"/>
      <c r="Z711" s="124"/>
    </row>
    <row r="712">
      <c r="A712" s="124"/>
      <c r="B712" s="124"/>
      <c r="C712" s="124"/>
      <c r="D712" s="124"/>
      <c r="E712" s="124"/>
      <c r="F712" s="124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4"/>
      <c r="V712" s="124"/>
      <c r="W712" s="124"/>
      <c r="X712" s="124"/>
      <c r="Y712" s="124"/>
      <c r="Z712" s="124"/>
    </row>
    <row r="713">
      <c r="A713" s="124"/>
      <c r="B713" s="124"/>
      <c r="C713" s="124"/>
      <c r="D713" s="124"/>
      <c r="E713" s="124"/>
      <c r="F713" s="124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4"/>
      <c r="V713" s="124"/>
      <c r="W713" s="124"/>
      <c r="X713" s="124"/>
      <c r="Y713" s="124"/>
      <c r="Z713" s="124"/>
    </row>
    <row r="714">
      <c r="A714" s="124"/>
      <c r="B714" s="124"/>
      <c r="C714" s="124"/>
      <c r="D714" s="124"/>
      <c r="E714" s="124"/>
      <c r="F714" s="124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4"/>
      <c r="V714" s="124"/>
      <c r="W714" s="124"/>
      <c r="X714" s="124"/>
      <c r="Y714" s="124"/>
      <c r="Z714" s="124"/>
    </row>
    <row r="715">
      <c r="A715" s="124"/>
      <c r="B715" s="124"/>
      <c r="C715" s="124"/>
      <c r="D715" s="124"/>
      <c r="E715" s="124"/>
      <c r="F715" s="124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4"/>
      <c r="V715" s="124"/>
      <c r="W715" s="124"/>
      <c r="X715" s="124"/>
      <c r="Y715" s="124"/>
      <c r="Z715" s="124"/>
    </row>
    <row r="716">
      <c r="A716" s="124"/>
      <c r="B716" s="124"/>
      <c r="C716" s="124"/>
      <c r="D716" s="124"/>
      <c r="E716" s="124"/>
      <c r="F716" s="124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4"/>
      <c r="V716" s="124"/>
      <c r="W716" s="124"/>
      <c r="X716" s="124"/>
      <c r="Y716" s="124"/>
      <c r="Z716" s="124"/>
    </row>
    <row r="717">
      <c r="A717" s="124"/>
      <c r="B717" s="124"/>
      <c r="C717" s="124"/>
      <c r="D717" s="124"/>
      <c r="E717" s="124"/>
      <c r="F717" s="124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4"/>
      <c r="V717" s="124"/>
      <c r="W717" s="124"/>
      <c r="X717" s="124"/>
      <c r="Y717" s="124"/>
      <c r="Z717" s="124"/>
    </row>
    <row r="718">
      <c r="A718" s="124"/>
      <c r="B718" s="124"/>
      <c r="C718" s="124"/>
      <c r="D718" s="124"/>
      <c r="E718" s="124"/>
      <c r="F718" s="124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4"/>
      <c r="V718" s="124"/>
      <c r="W718" s="124"/>
      <c r="X718" s="124"/>
      <c r="Y718" s="124"/>
      <c r="Z718" s="124"/>
    </row>
    <row r="719">
      <c r="A719" s="124"/>
      <c r="B719" s="124"/>
      <c r="C719" s="124"/>
      <c r="D719" s="124"/>
      <c r="E719" s="124"/>
      <c r="F719" s="124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4"/>
      <c r="V719" s="124"/>
      <c r="W719" s="124"/>
      <c r="X719" s="124"/>
      <c r="Y719" s="124"/>
      <c r="Z719" s="124"/>
    </row>
    <row r="720">
      <c r="A720" s="124"/>
      <c r="B720" s="124"/>
      <c r="C720" s="124"/>
      <c r="D720" s="124"/>
      <c r="E720" s="124"/>
      <c r="F720" s="124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4"/>
      <c r="V720" s="124"/>
      <c r="W720" s="124"/>
      <c r="X720" s="124"/>
      <c r="Y720" s="124"/>
      <c r="Z720" s="124"/>
    </row>
    <row r="721">
      <c r="A721" s="124"/>
      <c r="B721" s="124"/>
      <c r="C721" s="124"/>
      <c r="D721" s="124"/>
      <c r="E721" s="124"/>
      <c r="F721" s="124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4"/>
      <c r="V721" s="124"/>
      <c r="W721" s="124"/>
      <c r="X721" s="124"/>
      <c r="Y721" s="124"/>
      <c r="Z721" s="124"/>
    </row>
    <row r="722">
      <c r="A722" s="124"/>
      <c r="B722" s="124"/>
      <c r="C722" s="124"/>
      <c r="D722" s="124"/>
      <c r="E722" s="124"/>
      <c r="F722" s="124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</row>
    <row r="723">
      <c r="A723" s="124"/>
      <c r="B723" s="124"/>
      <c r="C723" s="124"/>
      <c r="D723" s="124"/>
      <c r="E723" s="124"/>
      <c r="F723" s="124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4"/>
      <c r="V723" s="124"/>
      <c r="W723" s="124"/>
      <c r="X723" s="124"/>
      <c r="Y723" s="124"/>
      <c r="Z723" s="124"/>
    </row>
    <row r="724">
      <c r="A724" s="124"/>
      <c r="B724" s="124"/>
      <c r="C724" s="124"/>
      <c r="D724" s="124"/>
      <c r="E724" s="124"/>
      <c r="F724" s="124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</row>
    <row r="725">
      <c r="A725" s="124"/>
      <c r="B725" s="124"/>
      <c r="C725" s="124"/>
      <c r="D725" s="124"/>
      <c r="E725" s="124"/>
      <c r="F725" s="124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</row>
    <row r="726">
      <c r="A726" s="124"/>
      <c r="B726" s="124"/>
      <c r="C726" s="124"/>
      <c r="D726" s="124"/>
      <c r="E726" s="124"/>
      <c r="F726" s="124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</row>
    <row r="727">
      <c r="A727" s="124"/>
      <c r="B727" s="124"/>
      <c r="C727" s="124"/>
      <c r="D727" s="124"/>
      <c r="E727" s="124"/>
      <c r="F727" s="124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</row>
    <row r="728">
      <c r="A728" s="124"/>
      <c r="B728" s="124"/>
      <c r="C728" s="124"/>
      <c r="D728" s="124"/>
      <c r="E728" s="124"/>
      <c r="F728" s="124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</row>
    <row r="729">
      <c r="A729" s="124"/>
      <c r="B729" s="124"/>
      <c r="C729" s="124"/>
      <c r="D729" s="124"/>
      <c r="E729" s="124"/>
      <c r="F729" s="124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4"/>
      <c r="V729" s="124"/>
      <c r="W729" s="124"/>
      <c r="X729" s="124"/>
      <c r="Y729" s="124"/>
      <c r="Z729" s="124"/>
    </row>
    <row r="730">
      <c r="A730" s="124"/>
      <c r="B730" s="124"/>
      <c r="C730" s="124"/>
      <c r="D730" s="124"/>
      <c r="E730" s="124"/>
      <c r="F730" s="124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4"/>
      <c r="V730" s="124"/>
      <c r="W730" s="124"/>
      <c r="X730" s="124"/>
      <c r="Y730" s="124"/>
      <c r="Z730" s="124"/>
    </row>
    <row r="731">
      <c r="A731" s="124"/>
      <c r="B731" s="124"/>
      <c r="C731" s="124"/>
      <c r="D731" s="124"/>
      <c r="E731" s="124"/>
      <c r="F731" s="124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</row>
    <row r="732">
      <c r="A732" s="124"/>
      <c r="B732" s="124"/>
      <c r="C732" s="124"/>
      <c r="D732" s="124"/>
      <c r="E732" s="124"/>
      <c r="F732" s="124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4"/>
      <c r="V732" s="124"/>
      <c r="W732" s="124"/>
      <c r="X732" s="124"/>
      <c r="Y732" s="124"/>
      <c r="Z732" s="124"/>
    </row>
    <row r="733">
      <c r="A733" s="124"/>
      <c r="B733" s="124"/>
      <c r="C733" s="124"/>
      <c r="D733" s="124"/>
      <c r="E733" s="124"/>
      <c r="F733" s="124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4"/>
      <c r="V733" s="124"/>
      <c r="W733" s="124"/>
      <c r="X733" s="124"/>
      <c r="Y733" s="124"/>
      <c r="Z733" s="124"/>
    </row>
    <row r="734">
      <c r="A734" s="124"/>
      <c r="B734" s="124"/>
      <c r="C734" s="124"/>
      <c r="D734" s="124"/>
      <c r="E734" s="124"/>
      <c r="F734" s="124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4"/>
      <c r="V734" s="124"/>
      <c r="W734" s="124"/>
      <c r="X734" s="124"/>
      <c r="Y734" s="124"/>
      <c r="Z734" s="124"/>
    </row>
    <row r="735">
      <c r="A735" s="124"/>
      <c r="B735" s="124"/>
      <c r="C735" s="124"/>
      <c r="D735" s="124"/>
      <c r="E735" s="124"/>
      <c r="F735" s="124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</row>
    <row r="736">
      <c r="A736" s="124"/>
      <c r="B736" s="124"/>
      <c r="C736" s="124"/>
      <c r="D736" s="124"/>
      <c r="E736" s="124"/>
      <c r="F736" s="124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</row>
    <row r="737">
      <c r="A737" s="124"/>
      <c r="B737" s="124"/>
      <c r="C737" s="124"/>
      <c r="D737" s="124"/>
      <c r="E737" s="124"/>
      <c r="F737" s="124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</row>
    <row r="738">
      <c r="A738" s="124"/>
      <c r="B738" s="124"/>
      <c r="C738" s="124"/>
      <c r="D738" s="124"/>
      <c r="E738" s="124"/>
      <c r="F738" s="124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</row>
    <row r="739">
      <c r="A739" s="124"/>
      <c r="B739" s="124"/>
      <c r="C739" s="124"/>
      <c r="D739" s="124"/>
      <c r="E739" s="124"/>
      <c r="F739" s="124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</row>
    <row r="740">
      <c r="A740" s="124"/>
      <c r="B740" s="124"/>
      <c r="C740" s="124"/>
      <c r="D740" s="124"/>
      <c r="E740" s="124"/>
      <c r="F740" s="124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</row>
    <row r="741">
      <c r="A741" s="124"/>
      <c r="B741" s="124"/>
      <c r="C741" s="124"/>
      <c r="D741" s="124"/>
      <c r="E741" s="124"/>
      <c r="F741" s="124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</row>
    <row r="742">
      <c r="A742" s="124"/>
      <c r="B742" s="124"/>
      <c r="C742" s="124"/>
      <c r="D742" s="124"/>
      <c r="E742" s="124"/>
      <c r="F742" s="124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</row>
    <row r="743">
      <c r="A743" s="124"/>
      <c r="B743" s="124"/>
      <c r="C743" s="124"/>
      <c r="D743" s="124"/>
      <c r="E743" s="124"/>
      <c r="F743" s="124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4"/>
      <c r="V743" s="124"/>
      <c r="W743" s="124"/>
      <c r="X743" s="124"/>
      <c r="Y743" s="124"/>
      <c r="Z743" s="124"/>
    </row>
    <row r="744">
      <c r="A744" s="124"/>
      <c r="B744" s="124"/>
      <c r="C744" s="124"/>
      <c r="D744" s="124"/>
      <c r="E744" s="124"/>
      <c r="F744" s="124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4"/>
      <c r="V744" s="124"/>
      <c r="W744" s="124"/>
      <c r="X744" s="124"/>
      <c r="Y744" s="124"/>
      <c r="Z744" s="124"/>
    </row>
    <row r="745">
      <c r="A745" s="124"/>
      <c r="B745" s="124"/>
      <c r="C745" s="124"/>
      <c r="D745" s="124"/>
      <c r="E745" s="124"/>
      <c r="F745" s="124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4"/>
      <c r="V745" s="124"/>
      <c r="W745" s="124"/>
      <c r="X745" s="124"/>
      <c r="Y745" s="124"/>
      <c r="Z745" s="124"/>
    </row>
    <row r="746">
      <c r="A746" s="124"/>
      <c r="B746" s="124"/>
      <c r="C746" s="124"/>
      <c r="D746" s="124"/>
      <c r="E746" s="124"/>
      <c r="F746" s="124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4"/>
      <c r="V746" s="124"/>
      <c r="W746" s="124"/>
      <c r="X746" s="124"/>
      <c r="Y746" s="124"/>
      <c r="Z746" s="124"/>
    </row>
    <row r="747">
      <c r="A747" s="124"/>
      <c r="B747" s="124"/>
      <c r="C747" s="124"/>
      <c r="D747" s="124"/>
      <c r="E747" s="124"/>
      <c r="F747" s="124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4"/>
      <c r="V747" s="124"/>
      <c r="W747" s="124"/>
      <c r="X747" s="124"/>
      <c r="Y747" s="124"/>
      <c r="Z747" s="124"/>
    </row>
    <row r="748">
      <c r="A748" s="124"/>
      <c r="B748" s="124"/>
      <c r="C748" s="124"/>
      <c r="D748" s="124"/>
      <c r="E748" s="124"/>
      <c r="F748" s="124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4"/>
      <c r="V748" s="124"/>
      <c r="W748" s="124"/>
      <c r="X748" s="124"/>
      <c r="Y748" s="124"/>
      <c r="Z748" s="124"/>
    </row>
    <row r="749">
      <c r="A749" s="124"/>
      <c r="B749" s="124"/>
      <c r="C749" s="124"/>
      <c r="D749" s="124"/>
      <c r="E749" s="124"/>
      <c r="F749" s="124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4"/>
      <c r="V749" s="124"/>
      <c r="W749" s="124"/>
      <c r="X749" s="124"/>
      <c r="Y749" s="124"/>
      <c r="Z749" s="124"/>
    </row>
    <row r="750">
      <c r="A750" s="124"/>
      <c r="B750" s="124"/>
      <c r="C750" s="124"/>
      <c r="D750" s="124"/>
      <c r="E750" s="124"/>
      <c r="F750" s="124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4"/>
      <c r="V750" s="124"/>
      <c r="W750" s="124"/>
      <c r="X750" s="124"/>
      <c r="Y750" s="124"/>
      <c r="Z750" s="124"/>
    </row>
    <row r="751">
      <c r="A751" s="124"/>
      <c r="B751" s="124"/>
      <c r="C751" s="124"/>
      <c r="D751" s="124"/>
      <c r="E751" s="124"/>
      <c r="F751" s="124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4"/>
      <c r="V751" s="124"/>
      <c r="W751" s="124"/>
      <c r="X751" s="124"/>
      <c r="Y751" s="124"/>
      <c r="Z751" s="124"/>
    </row>
    <row r="752">
      <c r="A752" s="124"/>
      <c r="B752" s="124"/>
      <c r="C752" s="124"/>
      <c r="D752" s="124"/>
      <c r="E752" s="124"/>
      <c r="F752" s="124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4"/>
      <c r="V752" s="124"/>
      <c r="W752" s="124"/>
      <c r="X752" s="124"/>
      <c r="Y752" s="124"/>
      <c r="Z752" s="124"/>
    </row>
    <row r="753">
      <c r="A753" s="124"/>
      <c r="B753" s="124"/>
      <c r="C753" s="124"/>
      <c r="D753" s="124"/>
      <c r="E753" s="124"/>
      <c r="F753" s="124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4"/>
      <c r="V753" s="124"/>
      <c r="W753" s="124"/>
      <c r="X753" s="124"/>
      <c r="Y753" s="124"/>
      <c r="Z753" s="124"/>
    </row>
    <row r="754">
      <c r="A754" s="124"/>
      <c r="B754" s="124"/>
      <c r="C754" s="124"/>
      <c r="D754" s="124"/>
      <c r="E754" s="124"/>
      <c r="F754" s="124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4"/>
      <c r="V754" s="124"/>
      <c r="W754" s="124"/>
      <c r="X754" s="124"/>
      <c r="Y754" s="124"/>
      <c r="Z754" s="124"/>
    </row>
    <row r="755">
      <c r="A755" s="124"/>
      <c r="B755" s="124"/>
      <c r="C755" s="124"/>
      <c r="D755" s="124"/>
      <c r="E755" s="124"/>
      <c r="F755" s="124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4"/>
      <c r="V755" s="124"/>
      <c r="W755" s="124"/>
      <c r="X755" s="124"/>
      <c r="Y755" s="124"/>
      <c r="Z755" s="124"/>
    </row>
    <row r="756">
      <c r="A756" s="124"/>
      <c r="B756" s="124"/>
      <c r="C756" s="124"/>
      <c r="D756" s="124"/>
      <c r="E756" s="124"/>
      <c r="F756" s="124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4"/>
      <c r="V756" s="124"/>
      <c r="W756" s="124"/>
      <c r="X756" s="124"/>
      <c r="Y756" s="124"/>
      <c r="Z756" s="124"/>
    </row>
    <row r="757">
      <c r="A757" s="124"/>
      <c r="B757" s="124"/>
      <c r="C757" s="124"/>
      <c r="D757" s="124"/>
      <c r="E757" s="124"/>
      <c r="F757" s="124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4"/>
      <c r="V757" s="124"/>
      <c r="W757" s="124"/>
      <c r="X757" s="124"/>
      <c r="Y757" s="124"/>
      <c r="Z757" s="124"/>
    </row>
    <row r="758">
      <c r="A758" s="124"/>
      <c r="B758" s="124"/>
      <c r="C758" s="124"/>
      <c r="D758" s="124"/>
      <c r="E758" s="124"/>
      <c r="F758" s="124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4"/>
      <c r="V758" s="124"/>
      <c r="W758" s="124"/>
      <c r="X758" s="124"/>
      <c r="Y758" s="124"/>
      <c r="Z758" s="124"/>
    </row>
    <row r="759">
      <c r="A759" s="124"/>
      <c r="B759" s="124"/>
      <c r="C759" s="124"/>
      <c r="D759" s="124"/>
      <c r="E759" s="124"/>
      <c r="F759" s="124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</row>
    <row r="760">
      <c r="A760" s="124"/>
      <c r="B760" s="124"/>
      <c r="C760" s="124"/>
      <c r="D760" s="124"/>
      <c r="E760" s="124"/>
      <c r="F760" s="124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4"/>
      <c r="V760" s="124"/>
      <c r="W760" s="124"/>
      <c r="X760" s="124"/>
      <c r="Y760" s="124"/>
      <c r="Z760" s="124"/>
    </row>
    <row r="761">
      <c r="A761" s="124"/>
      <c r="B761" s="124"/>
      <c r="C761" s="124"/>
      <c r="D761" s="124"/>
      <c r="E761" s="124"/>
      <c r="F761" s="124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4"/>
      <c r="V761" s="124"/>
      <c r="W761" s="124"/>
      <c r="X761" s="124"/>
      <c r="Y761" s="124"/>
      <c r="Z761" s="124"/>
    </row>
    <row r="762">
      <c r="A762" s="124"/>
      <c r="B762" s="124"/>
      <c r="C762" s="124"/>
      <c r="D762" s="124"/>
      <c r="E762" s="124"/>
      <c r="F762" s="124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4"/>
      <c r="V762" s="124"/>
      <c r="W762" s="124"/>
      <c r="X762" s="124"/>
      <c r="Y762" s="124"/>
      <c r="Z762" s="124"/>
    </row>
    <row r="763">
      <c r="A763" s="124"/>
      <c r="B763" s="124"/>
      <c r="C763" s="124"/>
      <c r="D763" s="124"/>
      <c r="E763" s="124"/>
      <c r="F763" s="124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</row>
    <row r="764">
      <c r="A764" s="124"/>
      <c r="B764" s="124"/>
      <c r="C764" s="124"/>
      <c r="D764" s="124"/>
      <c r="E764" s="124"/>
      <c r="F764" s="124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</row>
    <row r="765">
      <c r="A765" s="124"/>
      <c r="B765" s="124"/>
      <c r="C765" s="124"/>
      <c r="D765" s="124"/>
      <c r="E765" s="124"/>
      <c r="F765" s="124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4"/>
      <c r="V765" s="124"/>
      <c r="W765" s="124"/>
      <c r="X765" s="124"/>
      <c r="Y765" s="124"/>
      <c r="Z765" s="124"/>
    </row>
    <row r="766">
      <c r="A766" s="124"/>
      <c r="B766" s="124"/>
      <c r="C766" s="124"/>
      <c r="D766" s="124"/>
      <c r="E766" s="124"/>
      <c r="F766" s="124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4"/>
      <c r="V766" s="124"/>
      <c r="W766" s="124"/>
      <c r="X766" s="124"/>
      <c r="Y766" s="124"/>
      <c r="Z766" s="124"/>
    </row>
    <row r="767">
      <c r="A767" s="124"/>
      <c r="B767" s="124"/>
      <c r="C767" s="124"/>
      <c r="D767" s="124"/>
      <c r="E767" s="124"/>
      <c r="F767" s="124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4"/>
      <c r="V767" s="124"/>
      <c r="W767" s="124"/>
      <c r="X767" s="124"/>
      <c r="Y767" s="124"/>
      <c r="Z767" s="124"/>
    </row>
    <row r="768">
      <c r="A768" s="124"/>
      <c r="B768" s="124"/>
      <c r="C768" s="124"/>
      <c r="D768" s="124"/>
      <c r="E768" s="124"/>
      <c r="F768" s="124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4"/>
      <c r="V768" s="124"/>
      <c r="W768" s="124"/>
      <c r="X768" s="124"/>
      <c r="Y768" s="124"/>
      <c r="Z768" s="124"/>
    </row>
    <row r="769">
      <c r="A769" s="124"/>
      <c r="B769" s="124"/>
      <c r="C769" s="124"/>
      <c r="D769" s="124"/>
      <c r="E769" s="124"/>
      <c r="F769" s="124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4"/>
      <c r="V769" s="124"/>
      <c r="W769" s="124"/>
      <c r="X769" s="124"/>
      <c r="Y769" s="124"/>
      <c r="Z769" s="124"/>
    </row>
    <row r="770">
      <c r="A770" s="124"/>
      <c r="B770" s="124"/>
      <c r="C770" s="124"/>
      <c r="D770" s="124"/>
      <c r="E770" s="124"/>
      <c r="F770" s="124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</row>
    <row r="771">
      <c r="A771" s="124"/>
      <c r="B771" s="124"/>
      <c r="C771" s="124"/>
      <c r="D771" s="124"/>
      <c r="E771" s="124"/>
      <c r="F771" s="124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4"/>
      <c r="V771" s="124"/>
      <c r="W771" s="124"/>
      <c r="X771" s="124"/>
      <c r="Y771" s="124"/>
      <c r="Z771" s="124"/>
    </row>
    <row r="772">
      <c r="A772" s="124"/>
      <c r="B772" s="124"/>
      <c r="C772" s="124"/>
      <c r="D772" s="124"/>
      <c r="E772" s="124"/>
      <c r="F772" s="124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4"/>
      <c r="V772" s="124"/>
      <c r="W772" s="124"/>
      <c r="X772" s="124"/>
      <c r="Y772" s="124"/>
      <c r="Z772" s="124"/>
    </row>
    <row r="773">
      <c r="A773" s="124"/>
      <c r="B773" s="124"/>
      <c r="C773" s="124"/>
      <c r="D773" s="124"/>
      <c r="E773" s="124"/>
      <c r="F773" s="124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4"/>
      <c r="V773" s="124"/>
      <c r="W773" s="124"/>
      <c r="X773" s="124"/>
      <c r="Y773" s="124"/>
      <c r="Z773" s="124"/>
    </row>
    <row r="774">
      <c r="A774" s="124"/>
      <c r="B774" s="124"/>
      <c r="C774" s="124"/>
      <c r="D774" s="124"/>
      <c r="E774" s="124"/>
      <c r="F774" s="124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</row>
    <row r="775">
      <c r="A775" s="124"/>
      <c r="B775" s="124"/>
      <c r="C775" s="124"/>
      <c r="D775" s="124"/>
      <c r="E775" s="124"/>
      <c r="F775" s="124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4"/>
      <c r="V775" s="124"/>
      <c r="W775" s="124"/>
      <c r="X775" s="124"/>
      <c r="Y775" s="124"/>
      <c r="Z775" s="124"/>
    </row>
    <row r="776">
      <c r="A776" s="124"/>
      <c r="B776" s="124"/>
      <c r="C776" s="124"/>
      <c r="D776" s="124"/>
      <c r="E776" s="124"/>
      <c r="F776" s="124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4"/>
      <c r="V776" s="124"/>
      <c r="W776" s="124"/>
      <c r="X776" s="124"/>
      <c r="Y776" s="124"/>
      <c r="Z776" s="124"/>
    </row>
    <row r="777">
      <c r="A777" s="124"/>
      <c r="B777" s="124"/>
      <c r="C777" s="124"/>
      <c r="D777" s="124"/>
      <c r="E777" s="124"/>
      <c r="F777" s="124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4"/>
      <c r="V777" s="124"/>
      <c r="W777" s="124"/>
      <c r="X777" s="124"/>
      <c r="Y777" s="124"/>
      <c r="Z777" s="124"/>
    </row>
    <row r="778">
      <c r="A778" s="124"/>
      <c r="B778" s="124"/>
      <c r="C778" s="124"/>
      <c r="D778" s="124"/>
      <c r="E778" s="124"/>
      <c r="F778" s="124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4"/>
      <c r="V778" s="124"/>
      <c r="W778" s="124"/>
      <c r="X778" s="124"/>
      <c r="Y778" s="124"/>
      <c r="Z778" s="124"/>
    </row>
    <row r="779">
      <c r="A779" s="124"/>
      <c r="B779" s="124"/>
      <c r="C779" s="124"/>
      <c r="D779" s="124"/>
      <c r="E779" s="124"/>
      <c r="F779" s="124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4"/>
      <c r="V779" s="124"/>
      <c r="W779" s="124"/>
      <c r="X779" s="124"/>
      <c r="Y779" s="124"/>
      <c r="Z779" s="124"/>
    </row>
    <row r="780">
      <c r="A780" s="124"/>
      <c r="B780" s="124"/>
      <c r="C780" s="124"/>
      <c r="D780" s="124"/>
      <c r="E780" s="124"/>
      <c r="F780" s="124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4"/>
      <c r="V780" s="124"/>
      <c r="W780" s="124"/>
      <c r="X780" s="124"/>
      <c r="Y780" s="124"/>
      <c r="Z780" s="124"/>
    </row>
    <row r="781">
      <c r="A781" s="124"/>
      <c r="B781" s="124"/>
      <c r="C781" s="124"/>
      <c r="D781" s="124"/>
      <c r="E781" s="124"/>
      <c r="F781" s="124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4"/>
      <c r="V781" s="124"/>
      <c r="W781" s="124"/>
      <c r="X781" s="124"/>
      <c r="Y781" s="124"/>
      <c r="Z781" s="124"/>
    </row>
    <row r="782">
      <c r="A782" s="124"/>
      <c r="B782" s="124"/>
      <c r="C782" s="124"/>
      <c r="D782" s="124"/>
      <c r="E782" s="124"/>
      <c r="F782" s="124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4"/>
      <c r="V782" s="124"/>
      <c r="W782" s="124"/>
      <c r="X782" s="124"/>
      <c r="Y782" s="124"/>
      <c r="Z782" s="124"/>
    </row>
    <row r="783">
      <c r="A783" s="124"/>
      <c r="B783" s="124"/>
      <c r="C783" s="124"/>
      <c r="D783" s="124"/>
      <c r="E783" s="124"/>
      <c r="F783" s="124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</row>
    <row r="784">
      <c r="A784" s="124"/>
      <c r="B784" s="124"/>
      <c r="C784" s="124"/>
      <c r="D784" s="124"/>
      <c r="E784" s="124"/>
      <c r="F784" s="124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4"/>
      <c r="V784" s="124"/>
      <c r="W784" s="124"/>
      <c r="X784" s="124"/>
      <c r="Y784" s="124"/>
      <c r="Z784" s="124"/>
    </row>
    <row r="785">
      <c r="A785" s="124"/>
      <c r="B785" s="124"/>
      <c r="C785" s="124"/>
      <c r="D785" s="124"/>
      <c r="E785" s="124"/>
      <c r="F785" s="124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4"/>
      <c r="V785" s="124"/>
      <c r="W785" s="124"/>
      <c r="X785" s="124"/>
      <c r="Y785" s="124"/>
      <c r="Z785" s="124"/>
    </row>
    <row r="786">
      <c r="A786" s="124"/>
      <c r="B786" s="124"/>
      <c r="C786" s="124"/>
      <c r="D786" s="124"/>
      <c r="E786" s="124"/>
      <c r="F786" s="124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4"/>
      <c r="V786" s="124"/>
      <c r="W786" s="124"/>
      <c r="X786" s="124"/>
      <c r="Y786" s="124"/>
      <c r="Z786" s="124"/>
    </row>
    <row r="787">
      <c r="A787" s="124"/>
      <c r="B787" s="124"/>
      <c r="C787" s="124"/>
      <c r="D787" s="124"/>
      <c r="E787" s="124"/>
      <c r="F787" s="124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4"/>
      <c r="V787" s="124"/>
      <c r="W787" s="124"/>
      <c r="X787" s="124"/>
      <c r="Y787" s="124"/>
      <c r="Z787" s="124"/>
    </row>
    <row r="788">
      <c r="A788" s="124"/>
      <c r="B788" s="124"/>
      <c r="C788" s="124"/>
      <c r="D788" s="124"/>
      <c r="E788" s="124"/>
      <c r="F788" s="124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4"/>
      <c r="V788" s="124"/>
      <c r="W788" s="124"/>
      <c r="X788" s="124"/>
      <c r="Y788" s="124"/>
      <c r="Z788" s="124"/>
    </row>
    <row r="789">
      <c r="A789" s="124"/>
      <c r="B789" s="124"/>
      <c r="C789" s="124"/>
      <c r="D789" s="124"/>
      <c r="E789" s="124"/>
      <c r="F789" s="124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</row>
    <row r="790">
      <c r="A790" s="124"/>
      <c r="B790" s="124"/>
      <c r="C790" s="124"/>
      <c r="D790" s="124"/>
      <c r="E790" s="124"/>
      <c r="F790" s="124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4"/>
      <c r="V790" s="124"/>
      <c r="W790" s="124"/>
      <c r="X790" s="124"/>
      <c r="Y790" s="124"/>
      <c r="Z790" s="124"/>
    </row>
    <row r="791">
      <c r="A791" s="124"/>
      <c r="B791" s="124"/>
      <c r="C791" s="124"/>
      <c r="D791" s="124"/>
      <c r="E791" s="124"/>
      <c r="F791" s="124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4"/>
      <c r="V791" s="124"/>
      <c r="W791" s="124"/>
      <c r="X791" s="124"/>
      <c r="Y791" s="124"/>
      <c r="Z791" s="124"/>
    </row>
    <row r="792">
      <c r="A792" s="124"/>
      <c r="B792" s="124"/>
      <c r="C792" s="124"/>
      <c r="D792" s="124"/>
      <c r="E792" s="124"/>
      <c r="F792" s="124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4"/>
      <c r="V792" s="124"/>
      <c r="W792" s="124"/>
      <c r="X792" s="124"/>
      <c r="Y792" s="124"/>
      <c r="Z792" s="124"/>
    </row>
    <row r="793">
      <c r="A793" s="124"/>
      <c r="B793" s="124"/>
      <c r="C793" s="124"/>
      <c r="D793" s="124"/>
      <c r="E793" s="124"/>
      <c r="F793" s="124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4"/>
      <c r="V793" s="124"/>
      <c r="W793" s="124"/>
      <c r="X793" s="124"/>
      <c r="Y793" s="124"/>
      <c r="Z793" s="124"/>
    </row>
    <row r="794">
      <c r="A794" s="124"/>
      <c r="B794" s="124"/>
      <c r="C794" s="124"/>
      <c r="D794" s="124"/>
      <c r="E794" s="124"/>
      <c r="F794" s="124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4"/>
      <c r="V794" s="124"/>
      <c r="W794" s="124"/>
      <c r="X794" s="124"/>
      <c r="Y794" s="124"/>
      <c r="Z794" s="124"/>
    </row>
    <row r="795">
      <c r="A795" s="124"/>
      <c r="B795" s="124"/>
      <c r="C795" s="124"/>
      <c r="D795" s="124"/>
      <c r="E795" s="124"/>
      <c r="F795" s="124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4"/>
      <c r="V795" s="124"/>
      <c r="W795" s="124"/>
      <c r="X795" s="124"/>
      <c r="Y795" s="124"/>
      <c r="Z795" s="124"/>
    </row>
    <row r="796">
      <c r="A796" s="124"/>
      <c r="B796" s="124"/>
      <c r="C796" s="124"/>
      <c r="D796" s="124"/>
      <c r="E796" s="124"/>
      <c r="F796" s="124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4"/>
      <c r="V796" s="124"/>
      <c r="W796" s="124"/>
      <c r="X796" s="124"/>
      <c r="Y796" s="124"/>
      <c r="Z796" s="124"/>
    </row>
    <row r="797">
      <c r="A797" s="124"/>
      <c r="B797" s="124"/>
      <c r="C797" s="124"/>
      <c r="D797" s="124"/>
      <c r="E797" s="124"/>
      <c r="F797" s="124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4"/>
      <c r="V797" s="124"/>
      <c r="W797" s="124"/>
      <c r="X797" s="124"/>
      <c r="Y797" s="124"/>
      <c r="Z797" s="124"/>
    </row>
    <row r="798">
      <c r="A798" s="124"/>
      <c r="B798" s="124"/>
      <c r="C798" s="124"/>
      <c r="D798" s="124"/>
      <c r="E798" s="124"/>
      <c r="F798" s="124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4"/>
      <c r="V798" s="124"/>
      <c r="W798" s="124"/>
      <c r="X798" s="124"/>
      <c r="Y798" s="124"/>
      <c r="Z798" s="124"/>
    </row>
    <row r="799">
      <c r="A799" s="124"/>
      <c r="B799" s="124"/>
      <c r="C799" s="124"/>
      <c r="D799" s="124"/>
      <c r="E799" s="124"/>
      <c r="F799" s="124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4"/>
      <c r="V799" s="124"/>
      <c r="W799" s="124"/>
      <c r="X799" s="124"/>
      <c r="Y799" s="124"/>
      <c r="Z799" s="124"/>
    </row>
    <row r="800">
      <c r="A800" s="124"/>
      <c r="B800" s="124"/>
      <c r="C800" s="124"/>
      <c r="D800" s="124"/>
      <c r="E800" s="124"/>
      <c r="F800" s="124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4"/>
      <c r="V800" s="124"/>
      <c r="W800" s="124"/>
      <c r="X800" s="124"/>
      <c r="Y800" s="124"/>
      <c r="Z800" s="124"/>
    </row>
    <row r="801">
      <c r="A801" s="124"/>
      <c r="B801" s="124"/>
      <c r="C801" s="124"/>
      <c r="D801" s="124"/>
      <c r="E801" s="124"/>
      <c r="F801" s="124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4"/>
      <c r="V801" s="124"/>
      <c r="W801" s="124"/>
      <c r="X801" s="124"/>
      <c r="Y801" s="124"/>
      <c r="Z801" s="124"/>
    </row>
    <row r="802">
      <c r="A802" s="124"/>
      <c r="B802" s="124"/>
      <c r="C802" s="124"/>
      <c r="D802" s="124"/>
      <c r="E802" s="124"/>
      <c r="F802" s="124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4"/>
      <c r="V802" s="124"/>
      <c r="W802" s="124"/>
      <c r="X802" s="124"/>
      <c r="Y802" s="124"/>
      <c r="Z802" s="124"/>
    </row>
    <row r="803">
      <c r="A803" s="124"/>
      <c r="B803" s="124"/>
      <c r="C803" s="124"/>
      <c r="D803" s="124"/>
      <c r="E803" s="124"/>
      <c r="F803" s="124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</row>
    <row r="804">
      <c r="A804" s="124"/>
      <c r="B804" s="124"/>
      <c r="C804" s="124"/>
      <c r="D804" s="124"/>
      <c r="E804" s="124"/>
      <c r="F804" s="124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4"/>
      <c r="V804" s="124"/>
      <c r="W804" s="124"/>
      <c r="X804" s="124"/>
      <c r="Y804" s="124"/>
      <c r="Z804" s="124"/>
    </row>
    <row r="805">
      <c r="A805" s="124"/>
      <c r="B805" s="124"/>
      <c r="C805" s="124"/>
      <c r="D805" s="124"/>
      <c r="E805" s="124"/>
      <c r="F805" s="124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4"/>
      <c r="V805" s="124"/>
      <c r="W805" s="124"/>
      <c r="X805" s="124"/>
      <c r="Y805" s="124"/>
      <c r="Z805" s="124"/>
    </row>
    <row r="806">
      <c r="A806" s="124"/>
      <c r="B806" s="124"/>
      <c r="C806" s="124"/>
      <c r="D806" s="124"/>
      <c r="E806" s="124"/>
      <c r="F806" s="124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4"/>
      <c r="V806" s="124"/>
      <c r="W806" s="124"/>
      <c r="X806" s="124"/>
      <c r="Y806" s="124"/>
      <c r="Z806" s="124"/>
    </row>
    <row r="807">
      <c r="A807" s="124"/>
      <c r="B807" s="124"/>
      <c r="C807" s="124"/>
      <c r="D807" s="124"/>
      <c r="E807" s="124"/>
      <c r="F807" s="124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4"/>
      <c r="V807" s="124"/>
      <c r="W807" s="124"/>
      <c r="X807" s="124"/>
      <c r="Y807" s="124"/>
      <c r="Z807" s="124"/>
    </row>
    <row r="808">
      <c r="A808" s="124"/>
      <c r="B808" s="124"/>
      <c r="C808" s="124"/>
      <c r="D808" s="124"/>
      <c r="E808" s="124"/>
      <c r="F808" s="124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4"/>
      <c r="V808" s="124"/>
      <c r="W808" s="124"/>
      <c r="X808" s="124"/>
      <c r="Y808" s="124"/>
      <c r="Z808" s="124"/>
    </row>
    <row r="809">
      <c r="A809" s="124"/>
      <c r="B809" s="124"/>
      <c r="C809" s="124"/>
      <c r="D809" s="124"/>
      <c r="E809" s="124"/>
      <c r="F809" s="124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4"/>
      <c r="V809" s="124"/>
      <c r="W809" s="124"/>
      <c r="X809" s="124"/>
      <c r="Y809" s="124"/>
      <c r="Z809" s="124"/>
    </row>
    <row r="810">
      <c r="A810" s="124"/>
      <c r="B810" s="124"/>
      <c r="C810" s="124"/>
      <c r="D810" s="124"/>
      <c r="E810" s="124"/>
      <c r="F810" s="124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4"/>
      <c r="V810" s="124"/>
      <c r="W810" s="124"/>
      <c r="X810" s="124"/>
      <c r="Y810" s="124"/>
      <c r="Z810" s="124"/>
    </row>
    <row r="811">
      <c r="A811" s="124"/>
      <c r="B811" s="124"/>
      <c r="C811" s="124"/>
      <c r="D811" s="124"/>
      <c r="E811" s="124"/>
      <c r="F811" s="124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4"/>
      <c r="V811" s="124"/>
      <c r="W811" s="124"/>
      <c r="X811" s="124"/>
      <c r="Y811" s="124"/>
      <c r="Z811" s="124"/>
    </row>
    <row r="812">
      <c r="A812" s="124"/>
      <c r="B812" s="124"/>
      <c r="C812" s="124"/>
      <c r="D812" s="124"/>
      <c r="E812" s="124"/>
      <c r="F812" s="124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4"/>
      <c r="V812" s="124"/>
      <c r="W812" s="124"/>
      <c r="X812" s="124"/>
      <c r="Y812" s="124"/>
      <c r="Z812" s="124"/>
    </row>
    <row r="813">
      <c r="A813" s="124"/>
      <c r="B813" s="124"/>
      <c r="C813" s="124"/>
      <c r="D813" s="124"/>
      <c r="E813" s="124"/>
      <c r="F813" s="124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4"/>
      <c r="V813" s="124"/>
      <c r="W813" s="124"/>
      <c r="X813" s="124"/>
      <c r="Y813" s="124"/>
      <c r="Z813" s="124"/>
    </row>
    <row r="814">
      <c r="A814" s="124"/>
      <c r="B814" s="124"/>
      <c r="C814" s="124"/>
      <c r="D814" s="124"/>
      <c r="E814" s="124"/>
      <c r="F814" s="124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4"/>
      <c r="V814" s="124"/>
      <c r="W814" s="124"/>
      <c r="X814" s="124"/>
      <c r="Y814" s="124"/>
      <c r="Z814" s="124"/>
    </row>
    <row r="815">
      <c r="A815" s="124"/>
      <c r="B815" s="124"/>
      <c r="C815" s="124"/>
      <c r="D815" s="124"/>
      <c r="E815" s="124"/>
      <c r="F815" s="124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4"/>
      <c r="V815" s="124"/>
      <c r="W815" s="124"/>
      <c r="X815" s="124"/>
      <c r="Y815" s="124"/>
      <c r="Z815" s="124"/>
    </row>
    <row r="816">
      <c r="A816" s="124"/>
      <c r="B816" s="124"/>
      <c r="C816" s="124"/>
      <c r="D816" s="124"/>
      <c r="E816" s="124"/>
      <c r="F816" s="124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4"/>
      <c r="V816" s="124"/>
      <c r="W816" s="124"/>
      <c r="X816" s="124"/>
      <c r="Y816" s="124"/>
      <c r="Z816" s="124"/>
    </row>
    <row r="817">
      <c r="A817" s="124"/>
      <c r="B817" s="124"/>
      <c r="C817" s="124"/>
      <c r="D817" s="124"/>
      <c r="E817" s="124"/>
      <c r="F817" s="124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4"/>
      <c r="V817" s="124"/>
      <c r="W817" s="124"/>
      <c r="X817" s="124"/>
      <c r="Y817" s="124"/>
      <c r="Z817" s="124"/>
    </row>
    <row r="818">
      <c r="A818" s="124"/>
      <c r="B818" s="124"/>
      <c r="C818" s="124"/>
      <c r="D818" s="124"/>
      <c r="E818" s="124"/>
      <c r="F818" s="124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4"/>
      <c r="V818" s="124"/>
      <c r="W818" s="124"/>
      <c r="X818" s="124"/>
      <c r="Y818" s="124"/>
      <c r="Z818" s="124"/>
    </row>
    <row r="819">
      <c r="A819" s="124"/>
      <c r="B819" s="124"/>
      <c r="C819" s="124"/>
      <c r="D819" s="124"/>
      <c r="E819" s="124"/>
      <c r="F819" s="124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4"/>
      <c r="V819" s="124"/>
      <c r="W819" s="124"/>
      <c r="X819" s="124"/>
      <c r="Y819" s="124"/>
      <c r="Z819" s="124"/>
    </row>
    <row r="820">
      <c r="A820" s="124"/>
      <c r="B820" s="124"/>
      <c r="C820" s="124"/>
      <c r="D820" s="124"/>
      <c r="E820" s="124"/>
      <c r="F820" s="124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4"/>
      <c r="V820" s="124"/>
      <c r="W820" s="124"/>
      <c r="X820" s="124"/>
      <c r="Y820" s="124"/>
      <c r="Z820" s="124"/>
    </row>
    <row r="821">
      <c r="A821" s="124"/>
      <c r="B821" s="124"/>
      <c r="C821" s="124"/>
      <c r="D821" s="124"/>
      <c r="E821" s="124"/>
      <c r="F821" s="124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4"/>
      <c r="V821" s="124"/>
      <c r="W821" s="124"/>
      <c r="X821" s="124"/>
      <c r="Y821" s="124"/>
      <c r="Z821" s="124"/>
    </row>
    <row r="822">
      <c r="A822" s="124"/>
      <c r="B822" s="124"/>
      <c r="C822" s="124"/>
      <c r="D822" s="124"/>
      <c r="E822" s="124"/>
      <c r="F822" s="124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4"/>
      <c r="V822" s="124"/>
      <c r="W822" s="124"/>
      <c r="X822" s="124"/>
      <c r="Y822" s="124"/>
      <c r="Z822" s="124"/>
    </row>
    <row r="823">
      <c r="A823" s="124"/>
      <c r="B823" s="124"/>
      <c r="C823" s="124"/>
      <c r="D823" s="124"/>
      <c r="E823" s="124"/>
      <c r="F823" s="124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4"/>
      <c r="V823" s="124"/>
      <c r="W823" s="124"/>
      <c r="X823" s="124"/>
      <c r="Y823" s="124"/>
      <c r="Z823" s="124"/>
    </row>
    <row r="824">
      <c r="A824" s="124"/>
      <c r="B824" s="124"/>
      <c r="C824" s="124"/>
      <c r="D824" s="124"/>
      <c r="E824" s="124"/>
      <c r="F824" s="124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4"/>
      <c r="V824" s="124"/>
      <c r="W824" s="124"/>
      <c r="X824" s="124"/>
      <c r="Y824" s="124"/>
      <c r="Z824" s="124"/>
    </row>
    <row r="825">
      <c r="A825" s="124"/>
      <c r="B825" s="124"/>
      <c r="C825" s="124"/>
      <c r="D825" s="124"/>
      <c r="E825" s="124"/>
      <c r="F825" s="124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4"/>
      <c r="V825" s="124"/>
      <c r="W825" s="124"/>
      <c r="X825" s="124"/>
      <c r="Y825" s="124"/>
      <c r="Z825" s="124"/>
    </row>
    <row r="826">
      <c r="A826" s="124"/>
      <c r="B826" s="124"/>
      <c r="C826" s="124"/>
      <c r="D826" s="124"/>
      <c r="E826" s="124"/>
      <c r="F826" s="124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4"/>
      <c r="V826" s="124"/>
      <c r="W826" s="124"/>
      <c r="X826" s="124"/>
      <c r="Y826" s="124"/>
      <c r="Z826" s="124"/>
    </row>
    <row r="827">
      <c r="A827" s="124"/>
      <c r="B827" s="124"/>
      <c r="C827" s="124"/>
      <c r="D827" s="124"/>
      <c r="E827" s="124"/>
      <c r="F827" s="124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4"/>
      <c r="V827" s="124"/>
      <c r="W827" s="124"/>
      <c r="X827" s="124"/>
      <c r="Y827" s="124"/>
      <c r="Z827" s="124"/>
    </row>
    <row r="828">
      <c r="A828" s="124"/>
      <c r="B828" s="124"/>
      <c r="C828" s="124"/>
      <c r="D828" s="124"/>
      <c r="E828" s="124"/>
      <c r="F828" s="124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4"/>
      <c r="V828" s="124"/>
      <c r="W828" s="124"/>
      <c r="X828" s="124"/>
      <c r="Y828" s="124"/>
      <c r="Z828" s="124"/>
    </row>
    <row r="829">
      <c r="A829" s="124"/>
      <c r="B829" s="124"/>
      <c r="C829" s="124"/>
      <c r="D829" s="124"/>
      <c r="E829" s="124"/>
      <c r="F829" s="124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4"/>
      <c r="V829" s="124"/>
      <c r="W829" s="124"/>
      <c r="X829" s="124"/>
      <c r="Y829" s="124"/>
      <c r="Z829" s="124"/>
    </row>
    <row r="830">
      <c r="A830" s="124"/>
      <c r="B830" s="124"/>
      <c r="C830" s="124"/>
      <c r="D830" s="124"/>
      <c r="E830" s="124"/>
      <c r="F830" s="124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4"/>
      <c r="V830" s="124"/>
      <c r="W830" s="124"/>
      <c r="X830" s="124"/>
      <c r="Y830" s="124"/>
      <c r="Z830" s="124"/>
    </row>
    <row r="831">
      <c r="A831" s="124"/>
      <c r="B831" s="124"/>
      <c r="C831" s="124"/>
      <c r="D831" s="124"/>
      <c r="E831" s="124"/>
      <c r="F831" s="124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4"/>
      <c r="V831" s="124"/>
      <c r="W831" s="124"/>
      <c r="X831" s="124"/>
      <c r="Y831" s="124"/>
      <c r="Z831" s="124"/>
    </row>
    <row r="832">
      <c r="A832" s="124"/>
      <c r="B832" s="124"/>
      <c r="C832" s="124"/>
      <c r="D832" s="124"/>
      <c r="E832" s="124"/>
      <c r="F832" s="124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</row>
    <row r="833">
      <c r="A833" s="124"/>
      <c r="B833" s="124"/>
      <c r="C833" s="124"/>
      <c r="D833" s="124"/>
      <c r="E833" s="124"/>
      <c r="F833" s="124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4"/>
      <c r="V833" s="124"/>
      <c r="W833" s="124"/>
      <c r="X833" s="124"/>
      <c r="Y833" s="124"/>
      <c r="Z833" s="124"/>
    </row>
    <row r="834">
      <c r="A834" s="124"/>
      <c r="B834" s="124"/>
      <c r="C834" s="124"/>
      <c r="D834" s="124"/>
      <c r="E834" s="124"/>
      <c r="F834" s="124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4"/>
      <c r="V834" s="124"/>
      <c r="W834" s="124"/>
      <c r="X834" s="124"/>
      <c r="Y834" s="124"/>
      <c r="Z834" s="124"/>
    </row>
    <row r="835">
      <c r="A835" s="124"/>
      <c r="B835" s="124"/>
      <c r="C835" s="124"/>
      <c r="D835" s="124"/>
      <c r="E835" s="124"/>
      <c r="F835" s="124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4"/>
      <c r="V835" s="124"/>
      <c r="W835" s="124"/>
      <c r="X835" s="124"/>
      <c r="Y835" s="124"/>
      <c r="Z835" s="124"/>
    </row>
    <row r="836">
      <c r="A836" s="124"/>
      <c r="B836" s="124"/>
      <c r="C836" s="124"/>
      <c r="D836" s="124"/>
      <c r="E836" s="124"/>
      <c r="F836" s="124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4"/>
      <c r="V836" s="124"/>
      <c r="W836" s="124"/>
      <c r="X836" s="124"/>
      <c r="Y836" s="124"/>
      <c r="Z836" s="124"/>
    </row>
    <row r="837">
      <c r="A837" s="124"/>
      <c r="B837" s="124"/>
      <c r="C837" s="124"/>
      <c r="D837" s="124"/>
      <c r="E837" s="124"/>
      <c r="F837" s="124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4"/>
      <c r="V837" s="124"/>
      <c r="W837" s="124"/>
      <c r="X837" s="124"/>
      <c r="Y837" s="124"/>
      <c r="Z837" s="124"/>
    </row>
    <row r="838">
      <c r="A838" s="124"/>
      <c r="B838" s="124"/>
      <c r="C838" s="124"/>
      <c r="D838" s="124"/>
      <c r="E838" s="124"/>
      <c r="F838" s="124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4"/>
      <c r="V838" s="124"/>
      <c r="W838" s="124"/>
      <c r="X838" s="124"/>
      <c r="Y838" s="124"/>
      <c r="Z838" s="124"/>
    </row>
    <row r="839">
      <c r="A839" s="124"/>
      <c r="B839" s="124"/>
      <c r="C839" s="124"/>
      <c r="D839" s="124"/>
      <c r="E839" s="124"/>
      <c r="F839" s="124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4"/>
      <c r="V839" s="124"/>
      <c r="W839" s="124"/>
      <c r="X839" s="124"/>
      <c r="Y839" s="124"/>
      <c r="Z839" s="124"/>
    </row>
    <row r="840">
      <c r="A840" s="124"/>
      <c r="B840" s="124"/>
      <c r="C840" s="124"/>
      <c r="D840" s="124"/>
      <c r="E840" s="124"/>
      <c r="F840" s="124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4"/>
      <c r="V840" s="124"/>
      <c r="W840" s="124"/>
      <c r="X840" s="124"/>
      <c r="Y840" s="124"/>
      <c r="Z840" s="124"/>
    </row>
    <row r="841">
      <c r="A841" s="124"/>
      <c r="B841" s="124"/>
      <c r="C841" s="124"/>
      <c r="D841" s="124"/>
      <c r="E841" s="124"/>
      <c r="F841" s="124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4"/>
      <c r="V841" s="124"/>
      <c r="W841" s="124"/>
      <c r="X841" s="124"/>
      <c r="Y841" s="124"/>
      <c r="Z841" s="124"/>
    </row>
    <row r="842">
      <c r="A842" s="124"/>
      <c r="B842" s="124"/>
      <c r="C842" s="124"/>
      <c r="D842" s="124"/>
      <c r="E842" s="124"/>
      <c r="F842" s="124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4"/>
      <c r="V842" s="124"/>
      <c r="W842" s="124"/>
      <c r="X842" s="124"/>
      <c r="Y842" s="124"/>
      <c r="Z842" s="124"/>
    </row>
    <row r="843">
      <c r="A843" s="124"/>
      <c r="B843" s="124"/>
      <c r="C843" s="124"/>
      <c r="D843" s="124"/>
      <c r="E843" s="124"/>
      <c r="F843" s="124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4"/>
      <c r="V843" s="124"/>
      <c r="W843" s="124"/>
      <c r="X843" s="124"/>
      <c r="Y843" s="124"/>
      <c r="Z843" s="124"/>
    </row>
    <row r="844">
      <c r="A844" s="124"/>
      <c r="B844" s="124"/>
      <c r="C844" s="124"/>
      <c r="D844" s="124"/>
      <c r="E844" s="124"/>
      <c r="F844" s="124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4"/>
      <c r="V844" s="124"/>
      <c r="W844" s="124"/>
      <c r="X844" s="124"/>
      <c r="Y844" s="124"/>
      <c r="Z844" s="124"/>
    </row>
    <row r="845">
      <c r="A845" s="124"/>
      <c r="B845" s="124"/>
      <c r="C845" s="124"/>
      <c r="D845" s="124"/>
      <c r="E845" s="124"/>
      <c r="F845" s="124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4"/>
      <c r="V845" s="124"/>
      <c r="W845" s="124"/>
      <c r="X845" s="124"/>
      <c r="Y845" s="124"/>
      <c r="Z845" s="124"/>
    </row>
    <row r="846">
      <c r="A846" s="124"/>
      <c r="B846" s="124"/>
      <c r="C846" s="124"/>
      <c r="D846" s="124"/>
      <c r="E846" s="124"/>
      <c r="F846" s="124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4"/>
      <c r="V846" s="124"/>
      <c r="W846" s="124"/>
      <c r="X846" s="124"/>
      <c r="Y846" s="124"/>
      <c r="Z846" s="124"/>
    </row>
    <row r="847">
      <c r="A847" s="124"/>
      <c r="B847" s="124"/>
      <c r="C847" s="124"/>
      <c r="D847" s="124"/>
      <c r="E847" s="124"/>
      <c r="F847" s="124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4"/>
      <c r="V847" s="124"/>
      <c r="W847" s="124"/>
      <c r="X847" s="124"/>
      <c r="Y847" s="124"/>
      <c r="Z847" s="124"/>
    </row>
    <row r="848">
      <c r="A848" s="124"/>
      <c r="B848" s="124"/>
      <c r="C848" s="124"/>
      <c r="D848" s="124"/>
      <c r="E848" s="124"/>
      <c r="F848" s="124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4"/>
      <c r="V848" s="124"/>
      <c r="W848" s="124"/>
      <c r="X848" s="124"/>
      <c r="Y848" s="124"/>
      <c r="Z848" s="124"/>
    </row>
    <row r="849">
      <c r="A849" s="124"/>
      <c r="B849" s="124"/>
      <c r="C849" s="124"/>
      <c r="D849" s="124"/>
      <c r="E849" s="124"/>
      <c r="F849" s="124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4"/>
      <c r="V849" s="124"/>
      <c r="W849" s="124"/>
      <c r="X849" s="124"/>
      <c r="Y849" s="124"/>
      <c r="Z849" s="124"/>
    </row>
    <row r="850">
      <c r="A850" s="124"/>
      <c r="B850" s="124"/>
      <c r="C850" s="124"/>
      <c r="D850" s="124"/>
      <c r="E850" s="124"/>
      <c r="F850" s="124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4"/>
      <c r="V850" s="124"/>
      <c r="W850" s="124"/>
      <c r="X850" s="124"/>
      <c r="Y850" s="124"/>
      <c r="Z850" s="124"/>
    </row>
    <row r="851">
      <c r="A851" s="124"/>
      <c r="B851" s="124"/>
      <c r="C851" s="124"/>
      <c r="D851" s="124"/>
      <c r="E851" s="124"/>
      <c r="F851" s="124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4"/>
      <c r="V851" s="124"/>
      <c r="W851" s="124"/>
      <c r="X851" s="124"/>
      <c r="Y851" s="124"/>
      <c r="Z851" s="124"/>
    </row>
    <row r="852">
      <c r="A852" s="124"/>
      <c r="B852" s="124"/>
      <c r="C852" s="124"/>
      <c r="D852" s="124"/>
      <c r="E852" s="124"/>
      <c r="F852" s="124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4"/>
      <c r="V852" s="124"/>
      <c r="W852" s="124"/>
      <c r="X852" s="124"/>
      <c r="Y852" s="124"/>
      <c r="Z852" s="124"/>
    </row>
    <row r="853">
      <c r="A853" s="124"/>
      <c r="B853" s="124"/>
      <c r="C853" s="124"/>
      <c r="D853" s="124"/>
      <c r="E853" s="124"/>
      <c r="F853" s="124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4"/>
      <c r="V853" s="124"/>
      <c r="W853" s="124"/>
      <c r="X853" s="124"/>
      <c r="Y853" s="124"/>
      <c r="Z853" s="124"/>
    </row>
    <row r="854">
      <c r="A854" s="124"/>
      <c r="B854" s="124"/>
      <c r="C854" s="124"/>
      <c r="D854" s="124"/>
      <c r="E854" s="124"/>
      <c r="F854" s="124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4"/>
      <c r="V854" s="124"/>
      <c r="W854" s="124"/>
      <c r="X854" s="124"/>
      <c r="Y854" s="124"/>
      <c r="Z854" s="124"/>
    </row>
    <row r="855">
      <c r="A855" s="124"/>
      <c r="B855" s="124"/>
      <c r="C855" s="124"/>
      <c r="D855" s="124"/>
      <c r="E855" s="124"/>
      <c r="F855" s="124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4"/>
      <c r="V855" s="124"/>
      <c r="W855" s="124"/>
      <c r="X855" s="124"/>
      <c r="Y855" s="124"/>
      <c r="Z855" s="124"/>
    </row>
    <row r="856">
      <c r="A856" s="124"/>
      <c r="B856" s="124"/>
      <c r="C856" s="124"/>
      <c r="D856" s="124"/>
      <c r="E856" s="124"/>
      <c r="F856" s="124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4"/>
      <c r="V856" s="124"/>
      <c r="W856" s="124"/>
      <c r="X856" s="124"/>
      <c r="Y856" s="124"/>
      <c r="Z856" s="124"/>
    </row>
    <row r="857">
      <c r="A857" s="124"/>
      <c r="B857" s="124"/>
      <c r="C857" s="124"/>
      <c r="D857" s="124"/>
      <c r="E857" s="124"/>
      <c r="F857" s="124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4"/>
      <c r="V857" s="124"/>
      <c r="W857" s="124"/>
      <c r="X857" s="124"/>
      <c r="Y857" s="124"/>
      <c r="Z857" s="124"/>
    </row>
    <row r="858">
      <c r="A858" s="124"/>
      <c r="B858" s="124"/>
      <c r="C858" s="124"/>
      <c r="D858" s="124"/>
      <c r="E858" s="124"/>
      <c r="F858" s="124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</row>
    <row r="859">
      <c r="A859" s="124"/>
      <c r="B859" s="124"/>
      <c r="C859" s="124"/>
      <c r="D859" s="124"/>
      <c r="E859" s="124"/>
      <c r="F859" s="124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4"/>
      <c r="V859" s="124"/>
      <c r="W859" s="124"/>
      <c r="X859" s="124"/>
      <c r="Y859" s="124"/>
      <c r="Z859" s="124"/>
    </row>
    <row r="860">
      <c r="A860" s="124"/>
      <c r="B860" s="124"/>
      <c r="C860" s="124"/>
      <c r="D860" s="124"/>
      <c r="E860" s="124"/>
      <c r="F860" s="124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4"/>
      <c r="V860" s="124"/>
      <c r="W860" s="124"/>
      <c r="X860" s="124"/>
      <c r="Y860" s="124"/>
      <c r="Z860" s="124"/>
    </row>
    <row r="861">
      <c r="A861" s="124"/>
      <c r="B861" s="124"/>
      <c r="C861" s="124"/>
      <c r="D861" s="124"/>
      <c r="E861" s="124"/>
      <c r="F861" s="124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4"/>
      <c r="V861" s="124"/>
      <c r="W861" s="124"/>
      <c r="X861" s="124"/>
      <c r="Y861" s="124"/>
      <c r="Z861" s="124"/>
    </row>
    <row r="862">
      <c r="A862" s="124"/>
      <c r="B862" s="124"/>
      <c r="C862" s="124"/>
      <c r="D862" s="124"/>
      <c r="E862" s="124"/>
      <c r="F862" s="124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4"/>
      <c r="V862" s="124"/>
      <c r="W862" s="124"/>
      <c r="X862" s="124"/>
      <c r="Y862" s="124"/>
      <c r="Z862" s="124"/>
    </row>
    <row r="863">
      <c r="A863" s="124"/>
      <c r="B863" s="124"/>
      <c r="C863" s="124"/>
      <c r="D863" s="124"/>
      <c r="E863" s="124"/>
      <c r="F863" s="124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4"/>
      <c r="V863" s="124"/>
      <c r="W863" s="124"/>
      <c r="X863" s="124"/>
      <c r="Y863" s="124"/>
      <c r="Z863" s="124"/>
    </row>
    <row r="864">
      <c r="A864" s="124"/>
      <c r="B864" s="124"/>
      <c r="C864" s="124"/>
      <c r="D864" s="124"/>
      <c r="E864" s="124"/>
      <c r="F864" s="124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4"/>
      <c r="V864" s="124"/>
      <c r="W864" s="124"/>
      <c r="X864" s="124"/>
      <c r="Y864" s="124"/>
      <c r="Z864" s="124"/>
    </row>
    <row r="865">
      <c r="A865" s="124"/>
      <c r="B865" s="124"/>
      <c r="C865" s="124"/>
      <c r="D865" s="124"/>
      <c r="E865" s="124"/>
      <c r="F865" s="124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4"/>
      <c r="V865" s="124"/>
      <c r="W865" s="124"/>
      <c r="X865" s="124"/>
      <c r="Y865" s="124"/>
      <c r="Z865" s="124"/>
    </row>
    <row r="866">
      <c r="A866" s="124"/>
      <c r="B866" s="124"/>
      <c r="C866" s="124"/>
      <c r="D866" s="124"/>
      <c r="E866" s="124"/>
      <c r="F866" s="124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4"/>
      <c r="V866" s="124"/>
      <c r="W866" s="124"/>
      <c r="X866" s="124"/>
      <c r="Y866" s="124"/>
      <c r="Z866" s="124"/>
    </row>
    <row r="867">
      <c r="A867" s="124"/>
      <c r="B867" s="124"/>
      <c r="C867" s="124"/>
      <c r="D867" s="124"/>
      <c r="E867" s="124"/>
      <c r="F867" s="124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4"/>
      <c r="V867" s="124"/>
      <c r="W867" s="124"/>
      <c r="X867" s="124"/>
      <c r="Y867" s="124"/>
      <c r="Z867" s="124"/>
    </row>
    <row r="868">
      <c r="A868" s="124"/>
      <c r="B868" s="124"/>
      <c r="C868" s="124"/>
      <c r="D868" s="124"/>
      <c r="E868" s="124"/>
      <c r="F868" s="124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</row>
    <row r="869">
      <c r="A869" s="124"/>
      <c r="B869" s="124"/>
      <c r="C869" s="124"/>
      <c r="D869" s="124"/>
      <c r="E869" s="124"/>
      <c r="F869" s="124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4"/>
      <c r="V869" s="124"/>
      <c r="W869" s="124"/>
      <c r="X869" s="124"/>
      <c r="Y869" s="124"/>
      <c r="Z869" s="124"/>
    </row>
    <row r="870">
      <c r="A870" s="124"/>
      <c r="B870" s="124"/>
      <c r="C870" s="124"/>
      <c r="D870" s="124"/>
      <c r="E870" s="124"/>
      <c r="F870" s="124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4"/>
      <c r="V870" s="124"/>
      <c r="W870" s="124"/>
      <c r="X870" s="124"/>
      <c r="Y870" s="124"/>
      <c r="Z870" s="124"/>
    </row>
    <row r="871">
      <c r="A871" s="124"/>
      <c r="B871" s="124"/>
      <c r="C871" s="124"/>
      <c r="D871" s="124"/>
      <c r="E871" s="124"/>
      <c r="F871" s="124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4"/>
      <c r="V871" s="124"/>
      <c r="W871" s="124"/>
      <c r="X871" s="124"/>
      <c r="Y871" s="124"/>
      <c r="Z871" s="124"/>
    </row>
    <row r="872">
      <c r="A872" s="124"/>
      <c r="B872" s="124"/>
      <c r="C872" s="124"/>
      <c r="D872" s="124"/>
      <c r="E872" s="124"/>
      <c r="F872" s="124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4"/>
      <c r="V872" s="124"/>
      <c r="W872" s="124"/>
      <c r="X872" s="124"/>
      <c r="Y872" s="124"/>
      <c r="Z872" s="124"/>
    </row>
    <row r="873">
      <c r="A873" s="124"/>
      <c r="B873" s="124"/>
      <c r="C873" s="124"/>
      <c r="D873" s="124"/>
      <c r="E873" s="124"/>
      <c r="F873" s="124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4"/>
      <c r="V873" s="124"/>
      <c r="W873" s="124"/>
      <c r="X873" s="124"/>
      <c r="Y873" s="124"/>
      <c r="Z873" s="124"/>
    </row>
    <row r="874">
      <c r="A874" s="124"/>
      <c r="B874" s="124"/>
      <c r="C874" s="124"/>
      <c r="D874" s="124"/>
      <c r="E874" s="124"/>
      <c r="F874" s="124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4"/>
      <c r="V874" s="124"/>
      <c r="W874" s="124"/>
      <c r="X874" s="124"/>
      <c r="Y874" s="124"/>
      <c r="Z874" s="124"/>
    </row>
    <row r="875">
      <c r="A875" s="124"/>
      <c r="B875" s="124"/>
      <c r="C875" s="124"/>
      <c r="D875" s="124"/>
      <c r="E875" s="124"/>
      <c r="F875" s="124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4"/>
      <c r="V875" s="124"/>
      <c r="W875" s="124"/>
      <c r="X875" s="124"/>
      <c r="Y875" s="124"/>
      <c r="Z875" s="124"/>
    </row>
    <row r="876">
      <c r="A876" s="124"/>
      <c r="B876" s="124"/>
      <c r="C876" s="124"/>
      <c r="D876" s="124"/>
      <c r="E876" s="124"/>
      <c r="F876" s="124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4"/>
      <c r="V876" s="124"/>
      <c r="W876" s="124"/>
      <c r="X876" s="124"/>
      <c r="Y876" s="124"/>
      <c r="Z876" s="124"/>
    </row>
    <row r="877">
      <c r="A877" s="124"/>
      <c r="B877" s="124"/>
      <c r="C877" s="124"/>
      <c r="D877" s="124"/>
      <c r="E877" s="124"/>
      <c r="F877" s="124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4"/>
      <c r="V877" s="124"/>
      <c r="W877" s="124"/>
      <c r="X877" s="124"/>
      <c r="Y877" s="124"/>
      <c r="Z877" s="124"/>
    </row>
    <row r="878">
      <c r="A878" s="124"/>
      <c r="B878" s="124"/>
      <c r="C878" s="124"/>
      <c r="D878" s="124"/>
      <c r="E878" s="124"/>
      <c r="F878" s="124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4"/>
      <c r="V878" s="124"/>
      <c r="W878" s="124"/>
      <c r="X878" s="124"/>
      <c r="Y878" s="124"/>
      <c r="Z878" s="124"/>
    </row>
    <row r="879">
      <c r="A879" s="124"/>
      <c r="B879" s="124"/>
      <c r="C879" s="124"/>
      <c r="D879" s="124"/>
      <c r="E879" s="124"/>
      <c r="F879" s="124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4"/>
      <c r="V879" s="124"/>
      <c r="W879" s="124"/>
      <c r="X879" s="124"/>
      <c r="Y879" s="124"/>
      <c r="Z879" s="124"/>
    </row>
    <row r="880">
      <c r="A880" s="124"/>
      <c r="B880" s="124"/>
      <c r="C880" s="124"/>
      <c r="D880" s="124"/>
      <c r="E880" s="124"/>
      <c r="F880" s="124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4"/>
      <c r="V880" s="124"/>
      <c r="W880" s="124"/>
      <c r="X880" s="124"/>
      <c r="Y880" s="124"/>
      <c r="Z880" s="124"/>
    </row>
    <row r="881">
      <c r="A881" s="124"/>
      <c r="B881" s="124"/>
      <c r="C881" s="124"/>
      <c r="D881" s="124"/>
      <c r="E881" s="124"/>
      <c r="F881" s="124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4"/>
      <c r="V881" s="124"/>
      <c r="W881" s="124"/>
      <c r="X881" s="124"/>
      <c r="Y881" s="124"/>
      <c r="Z881" s="124"/>
    </row>
    <row r="882">
      <c r="A882" s="124"/>
      <c r="B882" s="124"/>
      <c r="C882" s="124"/>
      <c r="D882" s="124"/>
      <c r="E882" s="124"/>
      <c r="F882" s="124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4"/>
      <c r="V882" s="124"/>
      <c r="W882" s="124"/>
      <c r="X882" s="124"/>
      <c r="Y882" s="124"/>
      <c r="Z882" s="124"/>
    </row>
    <row r="883">
      <c r="A883" s="124"/>
      <c r="B883" s="124"/>
      <c r="C883" s="124"/>
      <c r="D883" s="124"/>
      <c r="E883" s="124"/>
      <c r="F883" s="124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4"/>
      <c r="V883" s="124"/>
      <c r="W883" s="124"/>
      <c r="X883" s="124"/>
      <c r="Y883" s="124"/>
      <c r="Z883" s="124"/>
    </row>
    <row r="884">
      <c r="A884" s="124"/>
      <c r="B884" s="124"/>
      <c r="C884" s="124"/>
      <c r="D884" s="124"/>
      <c r="E884" s="124"/>
      <c r="F884" s="124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4"/>
      <c r="V884" s="124"/>
      <c r="W884" s="124"/>
      <c r="X884" s="124"/>
      <c r="Y884" s="124"/>
      <c r="Z884" s="124"/>
    </row>
    <row r="885">
      <c r="A885" s="124"/>
      <c r="B885" s="124"/>
      <c r="C885" s="124"/>
      <c r="D885" s="124"/>
      <c r="E885" s="124"/>
      <c r="F885" s="124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4"/>
      <c r="V885" s="124"/>
      <c r="W885" s="124"/>
      <c r="X885" s="124"/>
      <c r="Y885" s="124"/>
      <c r="Z885" s="124"/>
    </row>
    <row r="886">
      <c r="A886" s="124"/>
      <c r="B886" s="124"/>
      <c r="C886" s="124"/>
      <c r="D886" s="124"/>
      <c r="E886" s="124"/>
      <c r="F886" s="124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4"/>
      <c r="V886" s="124"/>
      <c r="W886" s="124"/>
      <c r="X886" s="124"/>
      <c r="Y886" s="124"/>
      <c r="Z886" s="124"/>
    </row>
    <row r="887">
      <c r="A887" s="124"/>
      <c r="B887" s="124"/>
      <c r="C887" s="124"/>
      <c r="D887" s="124"/>
      <c r="E887" s="124"/>
      <c r="F887" s="124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4"/>
      <c r="V887" s="124"/>
      <c r="W887" s="124"/>
      <c r="X887" s="124"/>
      <c r="Y887" s="124"/>
      <c r="Z887" s="124"/>
    </row>
    <row r="888">
      <c r="A888" s="124"/>
      <c r="B888" s="124"/>
      <c r="C888" s="124"/>
      <c r="D888" s="124"/>
      <c r="E888" s="124"/>
      <c r="F888" s="124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4"/>
      <c r="V888" s="124"/>
      <c r="W888" s="124"/>
      <c r="X888" s="124"/>
      <c r="Y888" s="124"/>
      <c r="Z888" s="124"/>
    </row>
    <row r="889">
      <c r="A889" s="124"/>
      <c r="B889" s="124"/>
      <c r="C889" s="124"/>
      <c r="D889" s="124"/>
      <c r="E889" s="124"/>
      <c r="F889" s="124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4"/>
      <c r="V889" s="124"/>
      <c r="W889" s="124"/>
      <c r="X889" s="124"/>
      <c r="Y889" s="124"/>
      <c r="Z889" s="124"/>
    </row>
    <row r="890">
      <c r="A890" s="124"/>
      <c r="B890" s="124"/>
      <c r="C890" s="124"/>
      <c r="D890" s="124"/>
      <c r="E890" s="124"/>
      <c r="F890" s="124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4"/>
      <c r="V890" s="124"/>
      <c r="W890" s="124"/>
      <c r="X890" s="124"/>
      <c r="Y890" s="124"/>
      <c r="Z890" s="124"/>
    </row>
    <row r="891">
      <c r="A891" s="124"/>
      <c r="B891" s="124"/>
      <c r="C891" s="124"/>
      <c r="D891" s="124"/>
      <c r="E891" s="124"/>
      <c r="F891" s="124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4"/>
      <c r="V891" s="124"/>
      <c r="W891" s="124"/>
      <c r="X891" s="124"/>
      <c r="Y891" s="124"/>
      <c r="Z891" s="124"/>
    </row>
    <row r="892">
      <c r="A892" s="124"/>
      <c r="B892" s="124"/>
      <c r="C892" s="124"/>
      <c r="D892" s="124"/>
      <c r="E892" s="124"/>
      <c r="F892" s="124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4"/>
      <c r="V892" s="124"/>
      <c r="W892" s="124"/>
      <c r="X892" s="124"/>
      <c r="Y892" s="124"/>
      <c r="Z892" s="124"/>
    </row>
    <row r="893">
      <c r="A893" s="124"/>
      <c r="B893" s="124"/>
      <c r="C893" s="124"/>
      <c r="D893" s="124"/>
      <c r="E893" s="124"/>
      <c r="F893" s="124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4"/>
      <c r="V893" s="124"/>
      <c r="W893" s="124"/>
      <c r="X893" s="124"/>
      <c r="Y893" s="124"/>
      <c r="Z893" s="124"/>
    </row>
    <row r="894">
      <c r="A894" s="124"/>
      <c r="B894" s="124"/>
      <c r="C894" s="124"/>
      <c r="D894" s="124"/>
      <c r="E894" s="124"/>
      <c r="F894" s="124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4"/>
      <c r="V894" s="124"/>
      <c r="W894" s="124"/>
      <c r="X894" s="124"/>
      <c r="Y894" s="124"/>
      <c r="Z894" s="124"/>
    </row>
    <row r="895">
      <c r="A895" s="124"/>
      <c r="B895" s="124"/>
      <c r="C895" s="124"/>
      <c r="D895" s="124"/>
      <c r="E895" s="124"/>
      <c r="F895" s="124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4"/>
      <c r="V895" s="124"/>
      <c r="W895" s="124"/>
      <c r="X895" s="124"/>
      <c r="Y895" s="124"/>
      <c r="Z895" s="124"/>
    </row>
    <row r="896">
      <c r="A896" s="124"/>
      <c r="B896" s="124"/>
      <c r="C896" s="124"/>
      <c r="D896" s="124"/>
      <c r="E896" s="124"/>
      <c r="F896" s="124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4"/>
      <c r="V896" s="124"/>
      <c r="W896" s="124"/>
      <c r="X896" s="124"/>
      <c r="Y896" s="124"/>
      <c r="Z896" s="124"/>
    </row>
    <row r="897">
      <c r="A897" s="124"/>
      <c r="B897" s="124"/>
      <c r="C897" s="124"/>
      <c r="D897" s="124"/>
      <c r="E897" s="124"/>
      <c r="F897" s="124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4"/>
      <c r="V897" s="124"/>
      <c r="W897" s="124"/>
      <c r="X897" s="124"/>
      <c r="Y897" s="124"/>
      <c r="Z897" s="124"/>
    </row>
    <row r="898">
      <c r="A898" s="124"/>
      <c r="B898" s="124"/>
      <c r="C898" s="124"/>
      <c r="D898" s="124"/>
      <c r="E898" s="124"/>
      <c r="F898" s="124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4"/>
      <c r="V898" s="124"/>
      <c r="W898" s="124"/>
      <c r="X898" s="124"/>
      <c r="Y898" s="124"/>
      <c r="Z898" s="124"/>
    </row>
    <row r="899">
      <c r="A899" s="124"/>
      <c r="B899" s="124"/>
      <c r="C899" s="124"/>
      <c r="D899" s="124"/>
      <c r="E899" s="124"/>
      <c r="F899" s="124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4"/>
      <c r="V899" s="124"/>
      <c r="W899" s="124"/>
      <c r="X899" s="124"/>
      <c r="Y899" s="124"/>
      <c r="Z899" s="124"/>
    </row>
    <row r="900">
      <c r="A900" s="124"/>
      <c r="B900" s="124"/>
      <c r="C900" s="124"/>
      <c r="D900" s="124"/>
      <c r="E900" s="124"/>
      <c r="F900" s="124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4"/>
      <c r="V900" s="124"/>
      <c r="W900" s="124"/>
      <c r="X900" s="124"/>
      <c r="Y900" s="124"/>
      <c r="Z900" s="124"/>
    </row>
    <row r="901">
      <c r="A901" s="124"/>
      <c r="B901" s="124"/>
      <c r="C901" s="124"/>
      <c r="D901" s="124"/>
      <c r="E901" s="124"/>
      <c r="F901" s="124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4"/>
      <c r="V901" s="124"/>
      <c r="W901" s="124"/>
      <c r="X901" s="124"/>
      <c r="Y901" s="124"/>
      <c r="Z901" s="124"/>
    </row>
    <row r="902">
      <c r="A902" s="124"/>
      <c r="B902" s="124"/>
      <c r="C902" s="124"/>
      <c r="D902" s="124"/>
      <c r="E902" s="124"/>
      <c r="F902" s="124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4"/>
      <c r="V902" s="124"/>
      <c r="W902" s="124"/>
      <c r="X902" s="124"/>
      <c r="Y902" s="124"/>
      <c r="Z902" s="124"/>
    </row>
    <row r="903">
      <c r="A903" s="124"/>
      <c r="B903" s="124"/>
      <c r="C903" s="124"/>
      <c r="D903" s="124"/>
      <c r="E903" s="124"/>
      <c r="F903" s="124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4"/>
      <c r="V903" s="124"/>
      <c r="W903" s="124"/>
      <c r="X903" s="124"/>
      <c r="Y903" s="124"/>
      <c r="Z903" s="124"/>
    </row>
    <row r="904">
      <c r="A904" s="124"/>
      <c r="B904" s="124"/>
      <c r="C904" s="124"/>
      <c r="D904" s="124"/>
      <c r="E904" s="124"/>
      <c r="F904" s="124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4"/>
      <c r="V904" s="124"/>
      <c r="W904" s="124"/>
      <c r="X904" s="124"/>
      <c r="Y904" s="124"/>
      <c r="Z904" s="124"/>
    </row>
    <row r="905">
      <c r="A905" s="124"/>
      <c r="B905" s="124"/>
      <c r="C905" s="124"/>
      <c r="D905" s="124"/>
      <c r="E905" s="124"/>
      <c r="F905" s="124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4"/>
      <c r="V905" s="124"/>
      <c r="W905" s="124"/>
      <c r="X905" s="124"/>
      <c r="Y905" s="124"/>
      <c r="Z905" s="124"/>
    </row>
    <row r="906">
      <c r="A906" s="124"/>
      <c r="B906" s="124"/>
      <c r="C906" s="124"/>
      <c r="D906" s="124"/>
      <c r="E906" s="124"/>
      <c r="F906" s="124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4"/>
      <c r="V906" s="124"/>
      <c r="W906" s="124"/>
      <c r="X906" s="124"/>
      <c r="Y906" s="124"/>
      <c r="Z906" s="124"/>
    </row>
    <row r="907">
      <c r="A907" s="124"/>
      <c r="B907" s="124"/>
      <c r="C907" s="124"/>
      <c r="D907" s="124"/>
      <c r="E907" s="124"/>
      <c r="F907" s="124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4"/>
      <c r="V907" s="124"/>
      <c r="W907" s="124"/>
      <c r="X907" s="124"/>
      <c r="Y907" s="124"/>
      <c r="Z907" s="124"/>
    </row>
    <row r="908">
      <c r="A908" s="124"/>
      <c r="B908" s="124"/>
      <c r="C908" s="124"/>
      <c r="D908" s="124"/>
      <c r="E908" s="124"/>
      <c r="F908" s="124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4"/>
      <c r="V908" s="124"/>
      <c r="W908" s="124"/>
      <c r="X908" s="124"/>
      <c r="Y908" s="124"/>
      <c r="Z908" s="124"/>
    </row>
    <row r="909">
      <c r="A909" s="124"/>
      <c r="B909" s="124"/>
      <c r="C909" s="124"/>
      <c r="D909" s="124"/>
      <c r="E909" s="124"/>
      <c r="F909" s="124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4"/>
      <c r="V909" s="124"/>
      <c r="W909" s="124"/>
      <c r="X909" s="124"/>
      <c r="Y909" s="124"/>
      <c r="Z909" s="124"/>
    </row>
    <row r="910">
      <c r="A910" s="124"/>
      <c r="B910" s="124"/>
      <c r="C910" s="124"/>
      <c r="D910" s="124"/>
      <c r="E910" s="124"/>
      <c r="F910" s="124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4"/>
      <c r="V910" s="124"/>
      <c r="W910" s="124"/>
      <c r="X910" s="124"/>
      <c r="Y910" s="124"/>
      <c r="Z910" s="124"/>
    </row>
    <row r="911">
      <c r="A911" s="124"/>
      <c r="B911" s="124"/>
      <c r="C911" s="124"/>
      <c r="D911" s="124"/>
      <c r="E911" s="124"/>
      <c r="F911" s="124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4"/>
      <c r="V911" s="124"/>
      <c r="W911" s="124"/>
      <c r="X911" s="124"/>
      <c r="Y911" s="124"/>
      <c r="Z911" s="124"/>
    </row>
    <row r="912">
      <c r="A912" s="124"/>
      <c r="B912" s="124"/>
      <c r="C912" s="124"/>
      <c r="D912" s="124"/>
      <c r="E912" s="124"/>
      <c r="F912" s="124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4"/>
      <c r="V912" s="124"/>
      <c r="W912" s="124"/>
      <c r="X912" s="124"/>
      <c r="Y912" s="124"/>
      <c r="Z912" s="124"/>
    </row>
    <row r="913">
      <c r="A913" s="124"/>
      <c r="B913" s="124"/>
      <c r="C913" s="124"/>
      <c r="D913" s="124"/>
      <c r="E913" s="124"/>
      <c r="F913" s="124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4"/>
      <c r="V913" s="124"/>
      <c r="W913" s="124"/>
      <c r="X913" s="124"/>
      <c r="Y913" s="124"/>
      <c r="Z913" s="124"/>
    </row>
    <row r="914">
      <c r="A914" s="124"/>
      <c r="B914" s="124"/>
      <c r="C914" s="124"/>
      <c r="D914" s="124"/>
      <c r="E914" s="124"/>
      <c r="F914" s="124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4"/>
      <c r="V914" s="124"/>
      <c r="W914" s="124"/>
      <c r="X914" s="124"/>
      <c r="Y914" s="124"/>
      <c r="Z914" s="124"/>
    </row>
    <row r="915">
      <c r="A915" s="124"/>
      <c r="B915" s="124"/>
      <c r="C915" s="124"/>
      <c r="D915" s="124"/>
      <c r="E915" s="124"/>
      <c r="F915" s="124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4"/>
      <c r="V915" s="124"/>
      <c r="W915" s="124"/>
      <c r="X915" s="124"/>
      <c r="Y915" s="124"/>
      <c r="Z915" s="124"/>
    </row>
    <row r="916">
      <c r="A916" s="124"/>
      <c r="B916" s="124"/>
      <c r="C916" s="124"/>
      <c r="D916" s="124"/>
      <c r="E916" s="124"/>
      <c r="F916" s="124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4"/>
      <c r="V916" s="124"/>
      <c r="W916" s="124"/>
      <c r="X916" s="124"/>
      <c r="Y916" s="124"/>
      <c r="Z916" s="124"/>
    </row>
    <row r="917">
      <c r="A917" s="124"/>
      <c r="B917" s="124"/>
      <c r="C917" s="124"/>
      <c r="D917" s="124"/>
      <c r="E917" s="124"/>
      <c r="F917" s="124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4"/>
      <c r="V917" s="124"/>
      <c r="W917" s="124"/>
      <c r="X917" s="124"/>
      <c r="Y917" s="124"/>
      <c r="Z917" s="124"/>
    </row>
    <row r="918">
      <c r="A918" s="124"/>
      <c r="B918" s="124"/>
      <c r="C918" s="124"/>
      <c r="D918" s="124"/>
      <c r="E918" s="124"/>
      <c r="F918" s="124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4"/>
      <c r="V918" s="124"/>
      <c r="W918" s="124"/>
      <c r="X918" s="124"/>
      <c r="Y918" s="124"/>
      <c r="Z918" s="124"/>
    </row>
    <row r="919">
      <c r="A919" s="124"/>
      <c r="B919" s="124"/>
      <c r="C919" s="124"/>
      <c r="D919" s="124"/>
      <c r="E919" s="124"/>
      <c r="F919" s="124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4"/>
      <c r="V919" s="124"/>
      <c r="W919" s="124"/>
      <c r="X919" s="124"/>
      <c r="Y919" s="124"/>
      <c r="Z919" s="124"/>
    </row>
    <row r="920">
      <c r="A920" s="124"/>
      <c r="B920" s="124"/>
      <c r="C920" s="124"/>
      <c r="D920" s="124"/>
      <c r="E920" s="124"/>
      <c r="F920" s="124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4"/>
      <c r="V920" s="124"/>
      <c r="W920" s="124"/>
      <c r="X920" s="124"/>
      <c r="Y920" s="124"/>
      <c r="Z920" s="124"/>
    </row>
    <row r="921">
      <c r="A921" s="124"/>
      <c r="B921" s="124"/>
      <c r="C921" s="124"/>
      <c r="D921" s="124"/>
      <c r="E921" s="124"/>
      <c r="F921" s="124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4"/>
      <c r="V921" s="124"/>
      <c r="W921" s="124"/>
      <c r="X921" s="124"/>
      <c r="Y921" s="124"/>
      <c r="Z921" s="124"/>
    </row>
    <row r="922">
      <c r="A922" s="124"/>
      <c r="B922" s="124"/>
      <c r="C922" s="124"/>
      <c r="D922" s="124"/>
      <c r="E922" s="124"/>
      <c r="F922" s="124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4"/>
      <c r="V922" s="124"/>
      <c r="W922" s="124"/>
      <c r="X922" s="124"/>
      <c r="Y922" s="124"/>
      <c r="Z922" s="124"/>
    </row>
    <row r="923">
      <c r="A923" s="124"/>
      <c r="B923" s="124"/>
      <c r="C923" s="124"/>
      <c r="D923" s="124"/>
      <c r="E923" s="124"/>
      <c r="F923" s="124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4"/>
      <c r="V923" s="124"/>
      <c r="W923" s="124"/>
      <c r="X923" s="124"/>
      <c r="Y923" s="124"/>
      <c r="Z923" s="124"/>
    </row>
    <row r="924">
      <c r="A924" s="124"/>
      <c r="B924" s="124"/>
      <c r="C924" s="124"/>
      <c r="D924" s="124"/>
      <c r="E924" s="124"/>
      <c r="F924" s="124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4"/>
      <c r="V924" s="124"/>
      <c r="W924" s="124"/>
      <c r="X924" s="124"/>
      <c r="Y924" s="124"/>
      <c r="Z924" s="124"/>
    </row>
    <row r="925">
      <c r="A925" s="124"/>
      <c r="B925" s="124"/>
      <c r="C925" s="124"/>
      <c r="D925" s="124"/>
      <c r="E925" s="124"/>
      <c r="F925" s="124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4"/>
      <c r="V925" s="124"/>
      <c r="W925" s="124"/>
      <c r="X925" s="124"/>
      <c r="Y925" s="124"/>
      <c r="Z925" s="124"/>
    </row>
    <row r="926">
      <c r="A926" s="124"/>
      <c r="B926" s="124"/>
      <c r="C926" s="124"/>
      <c r="D926" s="124"/>
      <c r="E926" s="124"/>
      <c r="F926" s="124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4"/>
      <c r="V926" s="124"/>
      <c r="W926" s="124"/>
      <c r="X926" s="124"/>
      <c r="Y926" s="124"/>
      <c r="Z926" s="124"/>
    </row>
    <row r="927">
      <c r="A927" s="124"/>
      <c r="B927" s="124"/>
      <c r="C927" s="124"/>
      <c r="D927" s="124"/>
      <c r="E927" s="124"/>
      <c r="F927" s="124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4"/>
      <c r="V927" s="124"/>
      <c r="W927" s="124"/>
      <c r="X927" s="124"/>
      <c r="Y927" s="124"/>
      <c r="Z927" s="124"/>
    </row>
    <row r="928">
      <c r="A928" s="124"/>
      <c r="B928" s="124"/>
      <c r="C928" s="124"/>
      <c r="D928" s="124"/>
      <c r="E928" s="124"/>
      <c r="F928" s="124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4"/>
      <c r="V928" s="124"/>
      <c r="W928" s="124"/>
      <c r="X928" s="124"/>
      <c r="Y928" s="124"/>
      <c r="Z928" s="124"/>
    </row>
    <row r="929">
      <c r="A929" s="124"/>
      <c r="B929" s="124"/>
      <c r="C929" s="124"/>
      <c r="D929" s="124"/>
      <c r="E929" s="124"/>
      <c r="F929" s="124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4"/>
      <c r="V929" s="124"/>
      <c r="W929" s="124"/>
      <c r="X929" s="124"/>
      <c r="Y929" s="124"/>
      <c r="Z929" s="124"/>
    </row>
    <row r="930">
      <c r="A930" s="124"/>
      <c r="B930" s="124"/>
      <c r="C930" s="124"/>
      <c r="D930" s="124"/>
      <c r="E930" s="124"/>
      <c r="F930" s="124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4"/>
      <c r="V930" s="124"/>
      <c r="W930" s="124"/>
      <c r="X930" s="124"/>
      <c r="Y930" s="124"/>
      <c r="Z930" s="124"/>
    </row>
    <row r="931">
      <c r="A931" s="124"/>
      <c r="B931" s="124"/>
      <c r="C931" s="124"/>
      <c r="D931" s="124"/>
      <c r="E931" s="124"/>
      <c r="F931" s="124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4"/>
      <c r="V931" s="124"/>
      <c r="W931" s="124"/>
      <c r="X931" s="124"/>
      <c r="Y931" s="124"/>
      <c r="Z931" s="124"/>
    </row>
    <row r="932">
      <c r="A932" s="124"/>
      <c r="B932" s="124"/>
      <c r="C932" s="124"/>
      <c r="D932" s="124"/>
      <c r="E932" s="124"/>
      <c r="F932" s="124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4"/>
      <c r="V932" s="124"/>
      <c r="W932" s="124"/>
      <c r="X932" s="124"/>
      <c r="Y932" s="124"/>
      <c r="Z932" s="124"/>
    </row>
    <row r="933">
      <c r="A933" s="124"/>
      <c r="B933" s="124"/>
      <c r="C933" s="124"/>
      <c r="D933" s="124"/>
      <c r="E933" s="124"/>
      <c r="F933" s="124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4"/>
      <c r="V933" s="124"/>
      <c r="W933" s="124"/>
      <c r="X933" s="124"/>
      <c r="Y933" s="124"/>
      <c r="Z933" s="124"/>
    </row>
    <row r="934">
      <c r="A934" s="124"/>
      <c r="B934" s="124"/>
      <c r="C934" s="124"/>
      <c r="D934" s="124"/>
      <c r="E934" s="124"/>
      <c r="F934" s="124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4"/>
      <c r="V934" s="124"/>
      <c r="W934" s="124"/>
      <c r="X934" s="124"/>
      <c r="Y934" s="124"/>
      <c r="Z934" s="124"/>
    </row>
    <row r="935">
      <c r="A935" s="124"/>
      <c r="B935" s="124"/>
      <c r="C935" s="124"/>
      <c r="D935" s="124"/>
      <c r="E935" s="124"/>
      <c r="F935" s="124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4"/>
      <c r="V935" s="124"/>
      <c r="W935" s="124"/>
      <c r="X935" s="124"/>
      <c r="Y935" s="124"/>
      <c r="Z935" s="124"/>
    </row>
    <row r="936">
      <c r="A936" s="124"/>
      <c r="B936" s="124"/>
      <c r="C936" s="124"/>
      <c r="D936" s="124"/>
      <c r="E936" s="124"/>
      <c r="F936" s="124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4"/>
      <c r="V936" s="124"/>
      <c r="W936" s="124"/>
      <c r="X936" s="124"/>
      <c r="Y936" s="124"/>
      <c r="Z936" s="124"/>
    </row>
    <row r="937">
      <c r="A937" s="124"/>
      <c r="B937" s="124"/>
      <c r="C937" s="124"/>
      <c r="D937" s="124"/>
      <c r="E937" s="124"/>
      <c r="F937" s="124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4"/>
      <c r="V937" s="124"/>
      <c r="W937" s="124"/>
      <c r="X937" s="124"/>
      <c r="Y937" s="124"/>
      <c r="Z937" s="124"/>
    </row>
    <row r="938">
      <c r="A938" s="124"/>
      <c r="B938" s="124"/>
      <c r="C938" s="124"/>
      <c r="D938" s="124"/>
      <c r="E938" s="124"/>
      <c r="F938" s="124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4"/>
      <c r="V938" s="124"/>
      <c r="W938" s="124"/>
      <c r="X938" s="124"/>
      <c r="Y938" s="124"/>
      <c r="Z938" s="124"/>
    </row>
    <row r="939">
      <c r="A939" s="124"/>
      <c r="B939" s="124"/>
      <c r="C939" s="124"/>
      <c r="D939" s="124"/>
      <c r="E939" s="124"/>
      <c r="F939" s="124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4"/>
      <c r="V939" s="124"/>
      <c r="W939" s="124"/>
      <c r="X939" s="124"/>
      <c r="Y939" s="124"/>
      <c r="Z939" s="124"/>
    </row>
    <row r="940">
      <c r="A940" s="124"/>
      <c r="B940" s="124"/>
      <c r="C940" s="124"/>
      <c r="D940" s="124"/>
      <c r="E940" s="124"/>
      <c r="F940" s="124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4"/>
      <c r="V940" s="124"/>
      <c r="W940" s="124"/>
      <c r="X940" s="124"/>
      <c r="Y940" s="124"/>
      <c r="Z940" s="124"/>
    </row>
    <row r="941">
      <c r="A941" s="124"/>
      <c r="B941" s="124"/>
      <c r="C941" s="124"/>
      <c r="D941" s="124"/>
      <c r="E941" s="124"/>
      <c r="F941" s="124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4"/>
      <c r="V941" s="124"/>
      <c r="W941" s="124"/>
      <c r="X941" s="124"/>
      <c r="Y941" s="124"/>
      <c r="Z941" s="124"/>
    </row>
    <row r="942">
      <c r="A942" s="124"/>
      <c r="B942" s="124"/>
      <c r="C942" s="124"/>
      <c r="D942" s="124"/>
      <c r="E942" s="124"/>
      <c r="F942" s="124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4"/>
      <c r="V942" s="124"/>
      <c r="W942" s="124"/>
      <c r="X942" s="124"/>
      <c r="Y942" s="124"/>
      <c r="Z942" s="124"/>
    </row>
    <row r="943">
      <c r="A943" s="124"/>
      <c r="B943" s="124"/>
      <c r="C943" s="124"/>
      <c r="D943" s="124"/>
      <c r="E943" s="124"/>
      <c r="F943" s="124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4"/>
      <c r="V943" s="124"/>
      <c r="W943" s="124"/>
      <c r="X943" s="124"/>
      <c r="Y943" s="124"/>
      <c r="Z943" s="124"/>
    </row>
    <row r="944">
      <c r="A944" s="124"/>
      <c r="B944" s="124"/>
      <c r="C944" s="124"/>
      <c r="D944" s="124"/>
      <c r="E944" s="124"/>
      <c r="F944" s="124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4"/>
      <c r="V944" s="124"/>
      <c r="W944" s="124"/>
      <c r="X944" s="124"/>
      <c r="Y944" s="124"/>
      <c r="Z944" s="124"/>
    </row>
    <row r="945">
      <c r="A945" s="124"/>
      <c r="B945" s="124"/>
      <c r="C945" s="124"/>
      <c r="D945" s="124"/>
      <c r="E945" s="124"/>
      <c r="F945" s="124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4"/>
      <c r="V945" s="124"/>
      <c r="W945" s="124"/>
      <c r="X945" s="124"/>
      <c r="Y945" s="124"/>
      <c r="Z945" s="124"/>
    </row>
    <row r="946">
      <c r="A946" s="124"/>
      <c r="B946" s="124"/>
      <c r="C946" s="124"/>
      <c r="D946" s="124"/>
      <c r="E946" s="124"/>
      <c r="F946" s="124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4"/>
      <c r="V946" s="124"/>
      <c r="W946" s="124"/>
      <c r="X946" s="124"/>
      <c r="Y946" s="124"/>
      <c r="Z946" s="124"/>
    </row>
    <row r="947">
      <c r="A947" s="124"/>
      <c r="B947" s="124"/>
      <c r="C947" s="124"/>
      <c r="D947" s="124"/>
      <c r="E947" s="124"/>
      <c r="F947" s="124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4"/>
      <c r="V947" s="124"/>
      <c r="W947" s="124"/>
      <c r="X947" s="124"/>
      <c r="Y947" s="124"/>
      <c r="Z947" s="124"/>
    </row>
    <row r="948">
      <c r="A948" s="124"/>
      <c r="B948" s="124"/>
      <c r="C948" s="124"/>
      <c r="D948" s="124"/>
      <c r="E948" s="124"/>
      <c r="F948" s="124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4"/>
      <c r="V948" s="124"/>
      <c r="W948" s="124"/>
      <c r="X948" s="124"/>
      <c r="Y948" s="124"/>
      <c r="Z948" s="124"/>
    </row>
    <row r="949">
      <c r="A949" s="124"/>
      <c r="B949" s="124"/>
      <c r="C949" s="124"/>
      <c r="D949" s="124"/>
      <c r="E949" s="124"/>
      <c r="F949" s="124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4"/>
      <c r="V949" s="124"/>
      <c r="W949" s="124"/>
      <c r="X949" s="124"/>
      <c r="Y949" s="124"/>
      <c r="Z949" s="124"/>
    </row>
    <row r="950">
      <c r="A950" s="124"/>
      <c r="B950" s="124"/>
      <c r="C950" s="124"/>
      <c r="D950" s="124"/>
      <c r="E950" s="124"/>
      <c r="F950" s="124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4"/>
      <c r="V950" s="124"/>
      <c r="W950" s="124"/>
      <c r="X950" s="124"/>
      <c r="Y950" s="124"/>
      <c r="Z950" s="124"/>
    </row>
    <row r="951">
      <c r="A951" s="124"/>
      <c r="B951" s="124"/>
      <c r="C951" s="124"/>
      <c r="D951" s="124"/>
      <c r="E951" s="124"/>
      <c r="F951" s="124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4"/>
      <c r="V951" s="124"/>
      <c r="W951" s="124"/>
      <c r="X951" s="124"/>
      <c r="Y951" s="124"/>
      <c r="Z951" s="124"/>
    </row>
    <row r="952">
      <c r="A952" s="124"/>
      <c r="B952" s="124"/>
      <c r="C952" s="124"/>
      <c r="D952" s="124"/>
      <c r="E952" s="124"/>
      <c r="F952" s="124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4"/>
      <c r="V952" s="124"/>
      <c r="W952" s="124"/>
      <c r="X952" s="124"/>
      <c r="Y952" s="124"/>
      <c r="Z952" s="124"/>
    </row>
    <row r="953">
      <c r="A953" s="124"/>
      <c r="B953" s="124"/>
      <c r="C953" s="124"/>
      <c r="D953" s="124"/>
      <c r="E953" s="124"/>
      <c r="F953" s="124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4"/>
      <c r="V953" s="124"/>
      <c r="W953" s="124"/>
      <c r="X953" s="124"/>
      <c r="Y953" s="124"/>
      <c r="Z953" s="124"/>
    </row>
    <row r="954">
      <c r="A954" s="124"/>
      <c r="B954" s="124"/>
      <c r="C954" s="124"/>
      <c r="D954" s="124"/>
      <c r="E954" s="124"/>
      <c r="F954" s="124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4"/>
      <c r="V954" s="124"/>
      <c r="W954" s="124"/>
      <c r="X954" s="124"/>
      <c r="Y954" s="124"/>
      <c r="Z954" s="124"/>
    </row>
    <row r="955">
      <c r="A955" s="124"/>
      <c r="B955" s="124"/>
      <c r="C955" s="124"/>
      <c r="D955" s="124"/>
      <c r="E955" s="124"/>
      <c r="F955" s="124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4"/>
      <c r="V955" s="124"/>
      <c r="W955" s="124"/>
      <c r="X955" s="124"/>
      <c r="Y955" s="124"/>
      <c r="Z955" s="124"/>
    </row>
    <row r="956">
      <c r="A956" s="124"/>
      <c r="B956" s="124"/>
      <c r="C956" s="124"/>
      <c r="D956" s="124"/>
      <c r="E956" s="124"/>
      <c r="F956" s="124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4"/>
      <c r="V956" s="124"/>
      <c r="W956" s="124"/>
      <c r="X956" s="124"/>
      <c r="Y956" s="124"/>
      <c r="Z956" s="124"/>
    </row>
    <row r="957">
      <c r="A957" s="124"/>
      <c r="B957" s="124"/>
      <c r="C957" s="124"/>
      <c r="D957" s="124"/>
      <c r="E957" s="124"/>
      <c r="F957" s="124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4"/>
      <c r="V957" s="124"/>
      <c r="W957" s="124"/>
      <c r="X957" s="124"/>
      <c r="Y957" s="124"/>
      <c r="Z957" s="124"/>
    </row>
    <row r="958">
      <c r="A958" s="124"/>
      <c r="B958" s="124"/>
      <c r="C958" s="124"/>
      <c r="D958" s="124"/>
      <c r="E958" s="124"/>
      <c r="F958" s="124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4"/>
      <c r="V958" s="124"/>
      <c r="W958" s="124"/>
      <c r="X958" s="124"/>
      <c r="Y958" s="124"/>
      <c r="Z958" s="124"/>
    </row>
    <row r="959">
      <c r="A959" s="124"/>
      <c r="B959" s="124"/>
      <c r="C959" s="124"/>
      <c r="D959" s="124"/>
      <c r="E959" s="124"/>
      <c r="F959" s="124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4"/>
      <c r="V959" s="124"/>
      <c r="W959" s="124"/>
      <c r="X959" s="124"/>
      <c r="Y959" s="124"/>
      <c r="Z959" s="124"/>
    </row>
    <row r="960">
      <c r="A960" s="124"/>
      <c r="B960" s="124"/>
      <c r="C960" s="124"/>
      <c r="D960" s="124"/>
      <c r="E960" s="124"/>
      <c r="F960" s="124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4"/>
      <c r="V960" s="124"/>
      <c r="W960" s="124"/>
      <c r="X960" s="124"/>
      <c r="Y960" s="124"/>
      <c r="Z960" s="124"/>
    </row>
    <row r="961">
      <c r="A961" s="124"/>
      <c r="B961" s="124"/>
      <c r="C961" s="124"/>
      <c r="D961" s="124"/>
      <c r="E961" s="124"/>
      <c r="F961" s="124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4"/>
      <c r="V961" s="124"/>
      <c r="W961" s="124"/>
      <c r="X961" s="124"/>
      <c r="Y961" s="124"/>
      <c r="Z961" s="124"/>
    </row>
    <row r="962">
      <c r="A962" s="124"/>
      <c r="B962" s="124"/>
      <c r="C962" s="124"/>
      <c r="D962" s="124"/>
      <c r="E962" s="124"/>
      <c r="F962" s="124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4"/>
      <c r="V962" s="124"/>
      <c r="W962" s="124"/>
      <c r="X962" s="124"/>
      <c r="Y962" s="124"/>
      <c r="Z962" s="124"/>
    </row>
    <row r="963">
      <c r="A963" s="124"/>
      <c r="B963" s="124"/>
      <c r="C963" s="124"/>
      <c r="D963" s="124"/>
      <c r="E963" s="124"/>
      <c r="F963" s="124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4"/>
      <c r="V963" s="124"/>
      <c r="W963" s="124"/>
      <c r="X963" s="124"/>
      <c r="Y963" s="124"/>
      <c r="Z963" s="124"/>
    </row>
    <row r="964">
      <c r="A964" s="124"/>
      <c r="B964" s="124"/>
      <c r="C964" s="124"/>
      <c r="D964" s="124"/>
      <c r="E964" s="124"/>
      <c r="F964" s="124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4"/>
      <c r="V964" s="124"/>
      <c r="W964" s="124"/>
      <c r="X964" s="124"/>
      <c r="Y964" s="124"/>
      <c r="Z964" s="124"/>
    </row>
    <row r="965">
      <c r="A965" s="124"/>
      <c r="B965" s="124"/>
      <c r="C965" s="124"/>
      <c r="D965" s="124"/>
      <c r="E965" s="124"/>
      <c r="F965" s="124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4"/>
      <c r="V965" s="124"/>
      <c r="W965" s="124"/>
      <c r="X965" s="124"/>
      <c r="Y965" s="124"/>
      <c r="Z965" s="124"/>
    </row>
    <row r="966">
      <c r="A966" s="124"/>
      <c r="B966" s="124"/>
      <c r="C966" s="124"/>
      <c r="D966" s="124"/>
      <c r="E966" s="124"/>
      <c r="F966" s="124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4"/>
      <c r="V966" s="124"/>
      <c r="W966" s="124"/>
      <c r="X966" s="124"/>
      <c r="Y966" s="124"/>
      <c r="Z966" s="124"/>
    </row>
    <row r="967">
      <c r="A967" s="124"/>
      <c r="B967" s="124"/>
      <c r="C967" s="124"/>
      <c r="D967" s="124"/>
      <c r="E967" s="124"/>
      <c r="F967" s="124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4"/>
      <c r="V967" s="124"/>
      <c r="W967" s="124"/>
      <c r="X967" s="124"/>
      <c r="Y967" s="124"/>
      <c r="Z967" s="124"/>
    </row>
    <row r="968">
      <c r="A968" s="124"/>
      <c r="B968" s="124"/>
      <c r="C968" s="124"/>
      <c r="D968" s="124"/>
      <c r="E968" s="124"/>
      <c r="F968" s="124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4"/>
      <c r="V968" s="124"/>
      <c r="W968" s="124"/>
      <c r="X968" s="124"/>
      <c r="Y968" s="124"/>
      <c r="Z968" s="124"/>
    </row>
    <row r="969">
      <c r="A969" s="124"/>
      <c r="B969" s="124"/>
      <c r="C969" s="124"/>
      <c r="D969" s="124"/>
      <c r="E969" s="124"/>
      <c r="F969" s="124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4"/>
      <c r="V969" s="124"/>
      <c r="W969" s="124"/>
      <c r="X969" s="124"/>
      <c r="Y969" s="124"/>
      <c r="Z969" s="124"/>
    </row>
    <row r="970">
      <c r="A970" s="124"/>
      <c r="B970" s="124"/>
      <c r="C970" s="124"/>
      <c r="D970" s="124"/>
      <c r="E970" s="124"/>
      <c r="F970" s="124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4"/>
      <c r="V970" s="124"/>
      <c r="W970" s="124"/>
      <c r="X970" s="124"/>
      <c r="Y970" s="124"/>
      <c r="Z970" s="124"/>
    </row>
    <row r="971">
      <c r="A971" s="124"/>
      <c r="B971" s="124"/>
      <c r="C971" s="124"/>
      <c r="D971" s="124"/>
      <c r="E971" s="124"/>
      <c r="F971" s="124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4"/>
      <c r="V971" s="124"/>
      <c r="W971" s="124"/>
      <c r="X971" s="124"/>
      <c r="Y971" s="124"/>
      <c r="Z971" s="124"/>
    </row>
    <row r="972">
      <c r="A972" s="124"/>
      <c r="B972" s="124"/>
      <c r="C972" s="124"/>
      <c r="D972" s="124"/>
      <c r="E972" s="124"/>
      <c r="F972" s="124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4"/>
      <c r="V972" s="124"/>
      <c r="W972" s="124"/>
      <c r="X972" s="124"/>
      <c r="Y972" s="124"/>
      <c r="Z972" s="124"/>
    </row>
    <row r="973">
      <c r="A973" s="124"/>
      <c r="B973" s="124"/>
      <c r="C973" s="124"/>
      <c r="D973" s="124"/>
      <c r="E973" s="124"/>
      <c r="F973" s="124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4"/>
      <c r="V973" s="124"/>
      <c r="W973" s="124"/>
      <c r="X973" s="124"/>
      <c r="Y973" s="124"/>
      <c r="Z973" s="124"/>
    </row>
    <row r="974">
      <c r="A974" s="124"/>
      <c r="B974" s="124"/>
      <c r="C974" s="124"/>
      <c r="D974" s="124"/>
      <c r="E974" s="124"/>
      <c r="F974" s="124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4"/>
      <c r="V974" s="124"/>
      <c r="W974" s="124"/>
      <c r="X974" s="124"/>
      <c r="Y974" s="124"/>
      <c r="Z974" s="124"/>
    </row>
    <row r="975">
      <c r="A975" s="124"/>
      <c r="B975" s="124"/>
      <c r="C975" s="124"/>
      <c r="D975" s="124"/>
      <c r="E975" s="124"/>
      <c r="F975" s="124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4"/>
      <c r="V975" s="124"/>
      <c r="W975" s="124"/>
      <c r="X975" s="124"/>
      <c r="Y975" s="124"/>
      <c r="Z975" s="124"/>
    </row>
    <row r="976">
      <c r="A976" s="124"/>
      <c r="B976" s="124"/>
      <c r="C976" s="124"/>
      <c r="D976" s="124"/>
      <c r="E976" s="124"/>
      <c r="F976" s="124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4"/>
      <c r="V976" s="124"/>
      <c r="W976" s="124"/>
      <c r="X976" s="124"/>
      <c r="Y976" s="124"/>
      <c r="Z976" s="124"/>
    </row>
    <row r="977">
      <c r="A977" s="124"/>
      <c r="B977" s="124"/>
      <c r="C977" s="124"/>
      <c r="D977" s="124"/>
      <c r="E977" s="124"/>
      <c r="F977" s="124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4"/>
      <c r="V977" s="124"/>
      <c r="W977" s="124"/>
      <c r="X977" s="124"/>
      <c r="Y977" s="124"/>
      <c r="Z977" s="124"/>
    </row>
    <row r="978">
      <c r="A978" s="124"/>
      <c r="B978" s="124"/>
      <c r="C978" s="124"/>
      <c r="D978" s="124"/>
      <c r="E978" s="124"/>
      <c r="F978" s="124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4"/>
      <c r="V978" s="124"/>
      <c r="W978" s="124"/>
      <c r="X978" s="124"/>
      <c r="Y978" s="124"/>
      <c r="Z978" s="124"/>
    </row>
    <row r="979">
      <c r="A979" s="124"/>
      <c r="B979" s="124"/>
      <c r="C979" s="124"/>
      <c r="D979" s="124"/>
      <c r="E979" s="124"/>
      <c r="F979" s="124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4"/>
      <c r="V979" s="124"/>
      <c r="W979" s="124"/>
      <c r="X979" s="124"/>
      <c r="Y979" s="124"/>
      <c r="Z979" s="124"/>
    </row>
    <row r="980">
      <c r="A980" s="124"/>
      <c r="B980" s="124"/>
      <c r="C980" s="124"/>
      <c r="D980" s="124"/>
      <c r="E980" s="124"/>
      <c r="F980" s="124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4"/>
      <c r="V980" s="124"/>
      <c r="W980" s="124"/>
      <c r="X980" s="124"/>
      <c r="Y980" s="124"/>
      <c r="Z980" s="124"/>
    </row>
    <row r="981">
      <c r="A981" s="124"/>
      <c r="B981" s="124"/>
      <c r="C981" s="124"/>
      <c r="D981" s="124"/>
      <c r="E981" s="124"/>
      <c r="F981" s="124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4"/>
      <c r="V981" s="124"/>
      <c r="W981" s="124"/>
      <c r="X981" s="124"/>
      <c r="Y981" s="124"/>
      <c r="Z981" s="124"/>
    </row>
    <row r="982">
      <c r="A982" s="124"/>
      <c r="B982" s="124"/>
      <c r="C982" s="124"/>
      <c r="D982" s="124"/>
      <c r="E982" s="124"/>
      <c r="F982" s="124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4"/>
      <c r="V982" s="124"/>
      <c r="W982" s="124"/>
      <c r="X982" s="124"/>
      <c r="Y982" s="124"/>
      <c r="Z982" s="124"/>
    </row>
    <row r="983">
      <c r="A983" s="124"/>
      <c r="B983" s="124"/>
      <c r="C983" s="124"/>
      <c r="D983" s="124"/>
      <c r="E983" s="124"/>
      <c r="F983" s="124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4"/>
      <c r="V983" s="124"/>
      <c r="W983" s="124"/>
      <c r="X983" s="124"/>
      <c r="Y983" s="124"/>
      <c r="Z983" s="124"/>
    </row>
    <row r="984">
      <c r="A984" s="124"/>
      <c r="B984" s="124"/>
      <c r="C984" s="124"/>
      <c r="D984" s="124"/>
      <c r="E984" s="124"/>
      <c r="F984" s="124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4"/>
      <c r="V984" s="124"/>
      <c r="W984" s="124"/>
      <c r="X984" s="124"/>
      <c r="Y984" s="124"/>
      <c r="Z984" s="124"/>
    </row>
    <row r="985">
      <c r="A985" s="124"/>
      <c r="B985" s="124"/>
      <c r="C985" s="124"/>
      <c r="D985" s="124"/>
      <c r="E985" s="124"/>
      <c r="F985" s="124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4"/>
      <c r="V985" s="124"/>
      <c r="W985" s="124"/>
      <c r="X985" s="124"/>
      <c r="Y985" s="124"/>
      <c r="Z985" s="124"/>
    </row>
    <row r="986">
      <c r="A986" s="124"/>
      <c r="B986" s="124"/>
      <c r="C986" s="124"/>
      <c r="D986" s="124"/>
      <c r="E986" s="124"/>
      <c r="F986" s="124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4"/>
      <c r="V986" s="124"/>
      <c r="W986" s="124"/>
      <c r="X986" s="124"/>
      <c r="Y986" s="124"/>
      <c r="Z986" s="124"/>
    </row>
    <row r="987">
      <c r="A987" s="124"/>
      <c r="B987" s="124"/>
      <c r="C987" s="124"/>
      <c r="D987" s="124"/>
      <c r="E987" s="124"/>
      <c r="F987" s="124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4"/>
      <c r="V987" s="124"/>
      <c r="W987" s="124"/>
      <c r="X987" s="124"/>
      <c r="Y987" s="124"/>
      <c r="Z987" s="124"/>
    </row>
    <row r="988">
      <c r="A988" s="124"/>
      <c r="B988" s="124"/>
      <c r="C988" s="124"/>
      <c r="D988" s="124"/>
      <c r="E988" s="124"/>
      <c r="F988" s="124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4"/>
      <c r="V988" s="124"/>
      <c r="W988" s="124"/>
      <c r="X988" s="124"/>
      <c r="Y988" s="124"/>
      <c r="Z988" s="124"/>
    </row>
    <row r="989">
      <c r="A989" s="124"/>
      <c r="B989" s="124"/>
      <c r="C989" s="124"/>
      <c r="D989" s="124"/>
      <c r="E989" s="124"/>
      <c r="F989" s="124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4"/>
      <c r="V989" s="124"/>
      <c r="W989" s="124"/>
      <c r="X989" s="124"/>
      <c r="Y989" s="124"/>
      <c r="Z989" s="124"/>
    </row>
    <row r="990">
      <c r="A990" s="124"/>
      <c r="B990" s="124"/>
      <c r="C990" s="124"/>
      <c r="D990" s="124"/>
      <c r="E990" s="124"/>
      <c r="F990" s="124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4"/>
      <c r="V990" s="124"/>
      <c r="W990" s="124"/>
      <c r="X990" s="124"/>
      <c r="Y990" s="124"/>
      <c r="Z990" s="124"/>
    </row>
    <row r="991">
      <c r="A991" s="124"/>
      <c r="B991" s="124"/>
      <c r="C991" s="124"/>
      <c r="D991" s="124"/>
      <c r="E991" s="124"/>
      <c r="F991" s="124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4"/>
      <c r="V991" s="124"/>
      <c r="W991" s="124"/>
      <c r="X991" s="124"/>
      <c r="Y991" s="124"/>
      <c r="Z991" s="124"/>
    </row>
    <row r="992">
      <c r="A992" s="124"/>
      <c r="B992" s="124"/>
      <c r="C992" s="124"/>
      <c r="D992" s="124"/>
      <c r="E992" s="124"/>
      <c r="F992" s="124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4"/>
      <c r="V992" s="124"/>
      <c r="W992" s="124"/>
      <c r="X992" s="124"/>
      <c r="Y992" s="124"/>
      <c r="Z992" s="124"/>
    </row>
    <row r="993">
      <c r="A993" s="124"/>
      <c r="B993" s="124"/>
      <c r="C993" s="124"/>
      <c r="D993" s="124"/>
      <c r="E993" s="124"/>
      <c r="F993" s="124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4"/>
      <c r="V993" s="124"/>
      <c r="W993" s="124"/>
      <c r="X993" s="124"/>
      <c r="Y993" s="124"/>
      <c r="Z993" s="124"/>
    </row>
    <row r="994">
      <c r="A994" s="124"/>
      <c r="B994" s="124"/>
      <c r="C994" s="124"/>
      <c r="D994" s="124"/>
      <c r="E994" s="124"/>
      <c r="F994" s="124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4"/>
      <c r="V994" s="124"/>
      <c r="W994" s="124"/>
      <c r="X994" s="124"/>
      <c r="Y994" s="124"/>
      <c r="Z994" s="124"/>
    </row>
    <row r="995">
      <c r="A995" s="124"/>
      <c r="B995" s="124"/>
      <c r="C995" s="124"/>
      <c r="D995" s="124"/>
      <c r="E995" s="124"/>
      <c r="F995" s="124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4"/>
      <c r="V995" s="124"/>
      <c r="W995" s="124"/>
      <c r="X995" s="124"/>
      <c r="Y995" s="124"/>
      <c r="Z995" s="124"/>
    </row>
    <row r="996">
      <c r="A996" s="124"/>
      <c r="B996" s="124"/>
      <c r="C996" s="124"/>
      <c r="D996" s="124"/>
      <c r="E996" s="124"/>
      <c r="F996" s="124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4"/>
      <c r="V996" s="124"/>
      <c r="W996" s="124"/>
      <c r="X996" s="124"/>
      <c r="Y996" s="124"/>
      <c r="Z996" s="124"/>
    </row>
    <row r="997">
      <c r="A997" s="124"/>
      <c r="B997" s="124"/>
      <c r="C997" s="124"/>
      <c r="D997" s="124"/>
      <c r="E997" s="124"/>
      <c r="F997" s="124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4"/>
      <c r="V997" s="124"/>
      <c r="W997" s="124"/>
      <c r="X997" s="124"/>
      <c r="Y997" s="124"/>
      <c r="Z997" s="124"/>
    </row>
    <row r="998">
      <c r="A998" s="124"/>
      <c r="B998" s="124"/>
      <c r="C998" s="124"/>
      <c r="D998" s="124"/>
      <c r="E998" s="124"/>
      <c r="F998" s="124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4"/>
      <c r="V998" s="124"/>
      <c r="W998" s="124"/>
      <c r="X998" s="124"/>
      <c r="Y998" s="124"/>
      <c r="Z998" s="124"/>
    </row>
    <row r="999">
      <c r="A999" s="124"/>
      <c r="B999" s="124"/>
      <c r="C999" s="124"/>
      <c r="D999" s="124"/>
      <c r="E999" s="124"/>
      <c r="F999" s="124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4"/>
      <c r="V999" s="124"/>
      <c r="W999" s="124"/>
      <c r="X999" s="124"/>
      <c r="Y999" s="124"/>
      <c r="Z999" s="124"/>
    </row>
    <row r="1000">
      <c r="A1000" s="124"/>
      <c r="B1000" s="124"/>
      <c r="C1000" s="124"/>
      <c r="D1000" s="124"/>
      <c r="E1000" s="124"/>
      <c r="F1000" s="124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4"/>
      <c r="V1000" s="124"/>
      <c r="W1000" s="124"/>
      <c r="X1000" s="124"/>
      <c r="Y1000" s="124"/>
      <c r="Z1000" s="124"/>
    </row>
  </sheetData>
  <mergeCells count="1">
    <mergeCell ref="A4:E4"/>
  </mergeCells>
  <printOptions horizontalCentered="1"/>
  <pageMargins bottom="0.984251968503937" footer="0.0" header="0.0" left="0.7480314960629921" right="0.7480314960629921" top="1.102362204724409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2026-06-24T07:30:34Z</dcterms:created>
  <dc:creator>Julia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0x0101006A866460D9E950428073ABF56601A861</vt:lpwstr>
  </property>
</Properties>
</file>